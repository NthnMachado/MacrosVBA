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6" rupBuild="18528" codeName="{B1203076-2D4D-A25B-A398-973B695A806A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Nathan\Desktop\MACROS\"/>
    </mc:Choice>
  </mc:AlternateContent>
  <bookViews>
    <workbookView xWindow="0" yWindow="0" windowWidth="18300" windowHeight="9765" xr2:uid="{00000000-000D-0000-FFFF-FFFF00000000}"/>
  </bookViews>
  <sheets>
    <sheet name="Controle Macro" sheetId="6" r:id="rId1"/>
    <sheet name="Cartão Ponto" sheetId="2" r:id="rId2"/>
    <sheet name="Base_Macro" sheetId="7" r:id="rId3"/>
    <sheet name="Importação_Macro" sheetId="8" r:id="rId4"/>
    <sheet name="Importação" sheetId="3" state="hidden" r:id="rId5"/>
    <sheet name="base" sheetId="5" state="hidden" r:id="rId6"/>
  </sheets>
  <definedNames>
    <definedName name="_xlnm._FilterDatabase" localSheetId="2" hidden="1">Base_Macro!$A$1:$L$2795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300" i="3" l="1"/>
  <c r="L300" i="3" s="1"/>
  <c r="N300" i="3" s="1"/>
  <c r="O300" i="3" s="1"/>
  <c r="P300" i="3" s="1"/>
  <c r="E300" i="3"/>
  <c r="F300" i="3" s="1"/>
  <c r="K299" i="3"/>
  <c r="L299" i="3" s="1"/>
  <c r="N299" i="3" s="1"/>
  <c r="O299" i="3" s="1"/>
  <c r="P299" i="3" s="1"/>
  <c r="E299" i="3"/>
  <c r="F299" i="3" s="1"/>
  <c r="K298" i="3"/>
  <c r="L298" i="3" s="1"/>
  <c r="N298" i="3" s="1"/>
  <c r="O298" i="3" s="1"/>
  <c r="P298" i="3" s="1"/>
  <c r="E298" i="3"/>
  <c r="F298" i="3" s="1"/>
  <c r="K297" i="3"/>
  <c r="L297" i="3" s="1"/>
  <c r="N297" i="3" s="1"/>
  <c r="O297" i="3" s="1"/>
  <c r="P297" i="3" s="1"/>
  <c r="E297" i="3"/>
  <c r="F297" i="3" s="1"/>
  <c r="K296" i="3"/>
  <c r="L296" i="3" s="1"/>
  <c r="N296" i="3" s="1"/>
  <c r="O296" i="3" s="1"/>
  <c r="P296" i="3" s="1"/>
  <c r="E296" i="3"/>
  <c r="F296" i="3" s="1"/>
  <c r="K295" i="3"/>
  <c r="L295" i="3" s="1"/>
  <c r="N295" i="3" s="1"/>
  <c r="O295" i="3" s="1"/>
  <c r="P295" i="3" s="1"/>
  <c r="E295" i="3"/>
  <c r="F295" i="3" s="1"/>
  <c r="K294" i="3"/>
  <c r="L294" i="3" s="1"/>
  <c r="N294" i="3" s="1"/>
  <c r="O294" i="3" s="1"/>
  <c r="P294" i="3" s="1"/>
  <c r="E294" i="3"/>
  <c r="F294" i="3" s="1"/>
  <c r="K293" i="3"/>
  <c r="L293" i="3" s="1"/>
  <c r="N293" i="3" s="1"/>
  <c r="O293" i="3" s="1"/>
  <c r="P293" i="3" s="1"/>
  <c r="E293" i="3"/>
  <c r="F293" i="3" s="1"/>
  <c r="K292" i="3"/>
  <c r="L292" i="3" s="1"/>
  <c r="N292" i="3" s="1"/>
  <c r="O292" i="3" s="1"/>
  <c r="P292" i="3" s="1"/>
  <c r="E292" i="3"/>
  <c r="F292" i="3" s="1"/>
  <c r="K291" i="3"/>
  <c r="L291" i="3" s="1"/>
  <c r="N291" i="3" s="1"/>
  <c r="O291" i="3" s="1"/>
  <c r="P291" i="3" s="1"/>
  <c r="E291" i="3"/>
  <c r="F291" i="3" s="1"/>
  <c r="K290" i="3"/>
  <c r="L290" i="3" s="1"/>
  <c r="N290" i="3" s="1"/>
  <c r="O290" i="3" s="1"/>
  <c r="P290" i="3" s="1"/>
  <c r="E290" i="3"/>
  <c r="F290" i="3" s="1"/>
  <c r="K289" i="3"/>
  <c r="L289" i="3" s="1"/>
  <c r="N289" i="3" s="1"/>
  <c r="O289" i="3" s="1"/>
  <c r="P289" i="3" s="1"/>
  <c r="E289" i="3"/>
  <c r="F289" i="3" s="1"/>
  <c r="K288" i="3"/>
  <c r="L288" i="3" s="1"/>
  <c r="N288" i="3" s="1"/>
  <c r="O288" i="3" s="1"/>
  <c r="P288" i="3" s="1"/>
  <c r="E288" i="3"/>
  <c r="F288" i="3" s="1"/>
  <c r="K287" i="3"/>
  <c r="L287" i="3" s="1"/>
  <c r="N287" i="3" s="1"/>
  <c r="O287" i="3" s="1"/>
  <c r="P287" i="3" s="1"/>
  <c r="E287" i="3"/>
  <c r="F287" i="3" s="1"/>
  <c r="K286" i="3"/>
  <c r="L286" i="3" s="1"/>
  <c r="N286" i="3" s="1"/>
  <c r="O286" i="3" s="1"/>
  <c r="P286" i="3" s="1"/>
  <c r="E286" i="3"/>
  <c r="F286" i="3" s="1"/>
  <c r="K285" i="3"/>
  <c r="L285" i="3" s="1"/>
  <c r="N285" i="3" s="1"/>
  <c r="O285" i="3" s="1"/>
  <c r="P285" i="3" s="1"/>
  <c r="E285" i="3"/>
  <c r="F285" i="3" s="1"/>
  <c r="N284" i="3"/>
  <c r="O284" i="3" s="1"/>
  <c r="P284" i="3" s="1"/>
  <c r="K284" i="3"/>
  <c r="L284" i="3" s="1"/>
  <c r="E284" i="3"/>
  <c r="F284" i="3" s="1"/>
  <c r="K283" i="3"/>
  <c r="L283" i="3" s="1"/>
  <c r="N283" i="3" s="1"/>
  <c r="O283" i="3" s="1"/>
  <c r="P283" i="3" s="1"/>
  <c r="E283" i="3"/>
  <c r="F283" i="3" s="1"/>
  <c r="K282" i="3"/>
  <c r="L282" i="3" s="1"/>
  <c r="N282" i="3" s="1"/>
  <c r="O282" i="3" s="1"/>
  <c r="P282" i="3" s="1"/>
  <c r="E282" i="3"/>
  <c r="F282" i="3" s="1"/>
  <c r="K281" i="3"/>
  <c r="L281" i="3" s="1"/>
  <c r="N281" i="3" s="1"/>
  <c r="O281" i="3" s="1"/>
  <c r="P281" i="3" s="1"/>
  <c r="E281" i="3"/>
  <c r="F281" i="3" s="1"/>
  <c r="K280" i="3"/>
  <c r="L280" i="3" s="1"/>
  <c r="N280" i="3" s="1"/>
  <c r="O280" i="3" s="1"/>
  <c r="P280" i="3" s="1"/>
  <c r="E280" i="3"/>
  <c r="F280" i="3" s="1"/>
  <c r="K279" i="3"/>
  <c r="L279" i="3" s="1"/>
  <c r="N279" i="3" s="1"/>
  <c r="O279" i="3" s="1"/>
  <c r="P279" i="3" s="1"/>
  <c r="E279" i="3"/>
  <c r="F279" i="3" s="1"/>
  <c r="K278" i="3"/>
  <c r="L278" i="3" s="1"/>
  <c r="N278" i="3" s="1"/>
  <c r="O278" i="3" s="1"/>
  <c r="P278" i="3" s="1"/>
  <c r="E278" i="3"/>
  <c r="F278" i="3" s="1"/>
  <c r="K277" i="3"/>
  <c r="L277" i="3" s="1"/>
  <c r="N277" i="3" s="1"/>
  <c r="O277" i="3" s="1"/>
  <c r="P277" i="3" s="1"/>
  <c r="E277" i="3"/>
  <c r="F277" i="3" s="1"/>
  <c r="K276" i="3"/>
  <c r="L276" i="3" s="1"/>
  <c r="N276" i="3" s="1"/>
  <c r="O276" i="3" s="1"/>
  <c r="P276" i="3" s="1"/>
  <c r="E276" i="3"/>
  <c r="F276" i="3" s="1"/>
  <c r="K275" i="3"/>
  <c r="L275" i="3" s="1"/>
  <c r="N275" i="3" s="1"/>
  <c r="O275" i="3" s="1"/>
  <c r="P275" i="3" s="1"/>
  <c r="E275" i="3"/>
  <c r="F275" i="3" s="1"/>
  <c r="K274" i="3"/>
  <c r="L274" i="3" s="1"/>
  <c r="N274" i="3" s="1"/>
  <c r="O274" i="3" s="1"/>
  <c r="P274" i="3" s="1"/>
  <c r="E274" i="3"/>
  <c r="F274" i="3" s="1"/>
  <c r="K273" i="3"/>
  <c r="L273" i="3" s="1"/>
  <c r="N273" i="3" s="1"/>
  <c r="O273" i="3" s="1"/>
  <c r="P273" i="3" s="1"/>
  <c r="E273" i="3"/>
  <c r="F273" i="3" s="1"/>
  <c r="K272" i="3"/>
  <c r="L272" i="3" s="1"/>
  <c r="N272" i="3" s="1"/>
  <c r="O272" i="3" s="1"/>
  <c r="P272" i="3" s="1"/>
  <c r="E272" i="3"/>
  <c r="F272" i="3" s="1"/>
  <c r="K271" i="3"/>
  <c r="L271" i="3" s="1"/>
  <c r="N271" i="3" s="1"/>
  <c r="O271" i="3" s="1"/>
  <c r="P271" i="3" s="1"/>
  <c r="E271" i="3"/>
  <c r="F271" i="3" s="1"/>
  <c r="N270" i="3"/>
  <c r="O270" i="3" s="1"/>
  <c r="P270" i="3" s="1"/>
  <c r="K270" i="3"/>
  <c r="L270" i="3" s="1"/>
  <c r="E270" i="3"/>
  <c r="F270" i="3" s="1"/>
  <c r="K269" i="3"/>
  <c r="L269" i="3" s="1"/>
  <c r="N269" i="3" s="1"/>
  <c r="O269" i="3" s="1"/>
  <c r="P269" i="3" s="1"/>
  <c r="E269" i="3"/>
  <c r="F269" i="3" s="1"/>
  <c r="N268" i="3"/>
  <c r="O268" i="3" s="1"/>
  <c r="P268" i="3" s="1"/>
  <c r="K268" i="3"/>
  <c r="L268" i="3" s="1"/>
  <c r="E268" i="3"/>
  <c r="F268" i="3" s="1"/>
  <c r="K267" i="3"/>
  <c r="L267" i="3" s="1"/>
  <c r="N267" i="3" s="1"/>
  <c r="O267" i="3" s="1"/>
  <c r="P267" i="3" s="1"/>
  <c r="E267" i="3"/>
  <c r="F267" i="3" s="1"/>
  <c r="K266" i="3"/>
  <c r="L266" i="3" s="1"/>
  <c r="N266" i="3" s="1"/>
  <c r="O266" i="3" s="1"/>
  <c r="P266" i="3" s="1"/>
  <c r="E266" i="3"/>
  <c r="F266" i="3" s="1"/>
  <c r="K265" i="3"/>
  <c r="L265" i="3" s="1"/>
  <c r="N265" i="3" s="1"/>
  <c r="O265" i="3" s="1"/>
  <c r="P265" i="3" s="1"/>
  <c r="E265" i="3"/>
  <c r="F265" i="3" s="1"/>
  <c r="K264" i="3"/>
  <c r="L264" i="3" s="1"/>
  <c r="N264" i="3" s="1"/>
  <c r="O264" i="3" s="1"/>
  <c r="P264" i="3" s="1"/>
  <c r="E264" i="3"/>
  <c r="F264" i="3" s="1"/>
  <c r="K263" i="3"/>
  <c r="L263" i="3" s="1"/>
  <c r="N263" i="3" s="1"/>
  <c r="O263" i="3" s="1"/>
  <c r="P263" i="3" s="1"/>
  <c r="E263" i="3"/>
  <c r="F263" i="3" s="1"/>
  <c r="K262" i="3"/>
  <c r="L262" i="3" s="1"/>
  <c r="N262" i="3" s="1"/>
  <c r="O262" i="3" s="1"/>
  <c r="P262" i="3" s="1"/>
  <c r="E262" i="3"/>
  <c r="F262" i="3" s="1"/>
  <c r="K261" i="3"/>
  <c r="L261" i="3" s="1"/>
  <c r="N261" i="3" s="1"/>
  <c r="O261" i="3" s="1"/>
  <c r="P261" i="3" s="1"/>
  <c r="E261" i="3"/>
  <c r="F261" i="3" s="1"/>
  <c r="K260" i="3"/>
  <c r="L260" i="3" s="1"/>
  <c r="N260" i="3" s="1"/>
  <c r="O260" i="3" s="1"/>
  <c r="P260" i="3" s="1"/>
  <c r="E260" i="3"/>
  <c r="F260" i="3" s="1"/>
  <c r="K259" i="3"/>
  <c r="L259" i="3" s="1"/>
  <c r="N259" i="3" s="1"/>
  <c r="O259" i="3" s="1"/>
  <c r="P259" i="3" s="1"/>
  <c r="E259" i="3"/>
  <c r="F259" i="3" s="1"/>
  <c r="K258" i="3"/>
  <c r="L258" i="3" s="1"/>
  <c r="N258" i="3" s="1"/>
  <c r="O258" i="3" s="1"/>
  <c r="P258" i="3" s="1"/>
  <c r="F258" i="3"/>
  <c r="E258" i="3"/>
  <c r="K257" i="3"/>
  <c r="L257" i="3" s="1"/>
  <c r="N257" i="3" s="1"/>
  <c r="O257" i="3" s="1"/>
  <c r="P257" i="3" s="1"/>
  <c r="F257" i="3"/>
  <c r="E257" i="3"/>
  <c r="K256" i="3"/>
  <c r="L256" i="3" s="1"/>
  <c r="N256" i="3" s="1"/>
  <c r="O256" i="3" s="1"/>
  <c r="P256" i="3" s="1"/>
  <c r="E256" i="3"/>
  <c r="F256" i="3" s="1"/>
  <c r="K255" i="3"/>
  <c r="L255" i="3" s="1"/>
  <c r="N255" i="3" s="1"/>
  <c r="O255" i="3" s="1"/>
  <c r="P255" i="3" s="1"/>
  <c r="E255" i="3"/>
  <c r="F255" i="3" s="1"/>
  <c r="K254" i="3"/>
  <c r="L254" i="3" s="1"/>
  <c r="N254" i="3" s="1"/>
  <c r="O254" i="3" s="1"/>
  <c r="P254" i="3" s="1"/>
  <c r="E254" i="3"/>
  <c r="F254" i="3" s="1"/>
  <c r="K253" i="3"/>
  <c r="L253" i="3" s="1"/>
  <c r="N253" i="3" s="1"/>
  <c r="O253" i="3" s="1"/>
  <c r="P253" i="3" s="1"/>
  <c r="A253" i="3" s="1"/>
  <c r="F253" i="3"/>
  <c r="E253" i="3"/>
  <c r="K252" i="3"/>
  <c r="L252" i="3" s="1"/>
  <c r="N252" i="3" s="1"/>
  <c r="O252" i="3" s="1"/>
  <c r="P252" i="3" s="1"/>
  <c r="E252" i="3"/>
  <c r="F252" i="3" s="1"/>
  <c r="K251" i="3"/>
  <c r="L251" i="3" s="1"/>
  <c r="N251" i="3" s="1"/>
  <c r="O251" i="3" s="1"/>
  <c r="P251" i="3" s="1"/>
  <c r="E251" i="3"/>
  <c r="F251" i="3" s="1"/>
  <c r="K250" i="3"/>
  <c r="L250" i="3" s="1"/>
  <c r="N250" i="3" s="1"/>
  <c r="O250" i="3" s="1"/>
  <c r="P250" i="3" s="1"/>
  <c r="E250" i="3"/>
  <c r="F250" i="3" s="1"/>
  <c r="K249" i="3"/>
  <c r="L249" i="3" s="1"/>
  <c r="N249" i="3" s="1"/>
  <c r="O249" i="3" s="1"/>
  <c r="P249" i="3" s="1"/>
  <c r="E249" i="3"/>
  <c r="F249" i="3" s="1"/>
  <c r="L248" i="3"/>
  <c r="N248" i="3" s="1"/>
  <c r="O248" i="3" s="1"/>
  <c r="P248" i="3" s="1"/>
  <c r="K248" i="3"/>
  <c r="E248" i="3"/>
  <c r="F248" i="3" s="1"/>
  <c r="L247" i="3"/>
  <c r="N247" i="3" s="1"/>
  <c r="O247" i="3" s="1"/>
  <c r="P247" i="3" s="1"/>
  <c r="K247" i="3"/>
  <c r="E247" i="3"/>
  <c r="F247" i="3" s="1"/>
  <c r="K246" i="3"/>
  <c r="L246" i="3" s="1"/>
  <c r="N246" i="3" s="1"/>
  <c r="O246" i="3" s="1"/>
  <c r="P246" i="3" s="1"/>
  <c r="F246" i="3"/>
  <c r="E246" i="3"/>
  <c r="K245" i="3"/>
  <c r="L245" i="3" s="1"/>
  <c r="N245" i="3" s="1"/>
  <c r="O245" i="3" s="1"/>
  <c r="P245" i="3" s="1"/>
  <c r="E245" i="3"/>
  <c r="F245" i="3" s="1"/>
  <c r="L244" i="3"/>
  <c r="N244" i="3" s="1"/>
  <c r="O244" i="3" s="1"/>
  <c r="P244" i="3" s="1"/>
  <c r="K244" i="3"/>
  <c r="E244" i="3"/>
  <c r="F244" i="3" s="1"/>
  <c r="O243" i="3"/>
  <c r="P243" i="3" s="1"/>
  <c r="L243" i="3"/>
  <c r="N243" i="3" s="1"/>
  <c r="K243" i="3"/>
  <c r="E243" i="3"/>
  <c r="F243" i="3" s="1"/>
  <c r="K242" i="3"/>
  <c r="L242" i="3" s="1"/>
  <c r="N242" i="3" s="1"/>
  <c r="O242" i="3" s="1"/>
  <c r="P242" i="3" s="1"/>
  <c r="F242" i="3"/>
  <c r="E242" i="3"/>
  <c r="K241" i="3"/>
  <c r="L241" i="3" s="1"/>
  <c r="N241" i="3" s="1"/>
  <c r="O241" i="3" s="1"/>
  <c r="P241" i="3" s="1"/>
  <c r="F241" i="3"/>
  <c r="E241" i="3"/>
  <c r="K240" i="3"/>
  <c r="L240" i="3" s="1"/>
  <c r="N240" i="3" s="1"/>
  <c r="O240" i="3" s="1"/>
  <c r="P240" i="3" s="1"/>
  <c r="E240" i="3"/>
  <c r="F240" i="3" s="1"/>
  <c r="K239" i="3"/>
  <c r="L239" i="3" s="1"/>
  <c r="N239" i="3" s="1"/>
  <c r="O239" i="3" s="1"/>
  <c r="P239" i="3" s="1"/>
  <c r="E239" i="3"/>
  <c r="F239" i="3" s="1"/>
  <c r="K238" i="3"/>
  <c r="L238" i="3" s="1"/>
  <c r="N238" i="3" s="1"/>
  <c r="O238" i="3" s="1"/>
  <c r="P238" i="3" s="1"/>
  <c r="E238" i="3"/>
  <c r="F238" i="3" s="1"/>
  <c r="K237" i="3"/>
  <c r="L237" i="3" s="1"/>
  <c r="N237" i="3" s="1"/>
  <c r="O237" i="3" s="1"/>
  <c r="P237" i="3" s="1"/>
  <c r="A237" i="3" s="1"/>
  <c r="F237" i="3"/>
  <c r="E237" i="3"/>
  <c r="K236" i="3"/>
  <c r="L236" i="3" s="1"/>
  <c r="N236" i="3" s="1"/>
  <c r="O236" i="3" s="1"/>
  <c r="P236" i="3" s="1"/>
  <c r="E236" i="3"/>
  <c r="F236" i="3" s="1"/>
  <c r="K235" i="3"/>
  <c r="L235" i="3" s="1"/>
  <c r="N235" i="3" s="1"/>
  <c r="O235" i="3" s="1"/>
  <c r="P235" i="3" s="1"/>
  <c r="E235" i="3"/>
  <c r="F235" i="3" s="1"/>
  <c r="K234" i="3"/>
  <c r="L234" i="3" s="1"/>
  <c r="N234" i="3" s="1"/>
  <c r="O234" i="3" s="1"/>
  <c r="P234" i="3" s="1"/>
  <c r="E234" i="3"/>
  <c r="F234" i="3" s="1"/>
  <c r="K233" i="3"/>
  <c r="L233" i="3" s="1"/>
  <c r="N233" i="3" s="1"/>
  <c r="O233" i="3" s="1"/>
  <c r="P233" i="3" s="1"/>
  <c r="E233" i="3"/>
  <c r="F233" i="3" s="1"/>
  <c r="L232" i="3"/>
  <c r="N232" i="3" s="1"/>
  <c r="O232" i="3" s="1"/>
  <c r="P232" i="3" s="1"/>
  <c r="K232" i="3"/>
  <c r="E232" i="3"/>
  <c r="F232" i="3" s="1"/>
  <c r="L231" i="3"/>
  <c r="N231" i="3" s="1"/>
  <c r="O231" i="3" s="1"/>
  <c r="P231" i="3" s="1"/>
  <c r="K231" i="3"/>
  <c r="E231" i="3"/>
  <c r="F231" i="3" s="1"/>
  <c r="K230" i="3"/>
  <c r="L230" i="3" s="1"/>
  <c r="N230" i="3" s="1"/>
  <c r="O230" i="3" s="1"/>
  <c r="P230" i="3" s="1"/>
  <c r="F230" i="3"/>
  <c r="A230" i="3" s="1"/>
  <c r="E230" i="3"/>
  <c r="K229" i="3"/>
  <c r="L229" i="3" s="1"/>
  <c r="N229" i="3" s="1"/>
  <c r="O229" i="3" s="1"/>
  <c r="P229" i="3" s="1"/>
  <c r="E229" i="3"/>
  <c r="F229" i="3" s="1"/>
  <c r="L228" i="3"/>
  <c r="N228" i="3" s="1"/>
  <c r="O228" i="3" s="1"/>
  <c r="P228" i="3" s="1"/>
  <c r="K228" i="3"/>
  <c r="E228" i="3"/>
  <c r="F228" i="3" s="1"/>
  <c r="O227" i="3"/>
  <c r="P227" i="3" s="1"/>
  <c r="A227" i="3" s="1"/>
  <c r="L227" i="3"/>
  <c r="N227" i="3" s="1"/>
  <c r="K227" i="3"/>
  <c r="E227" i="3"/>
  <c r="F227" i="3" s="1"/>
  <c r="K226" i="3"/>
  <c r="L226" i="3" s="1"/>
  <c r="N226" i="3" s="1"/>
  <c r="O226" i="3" s="1"/>
  <c r="P226" i="3" s="1"/>
  <c r="F226" i="3"/>
  <c r="E226" i="3"/>
  <c r="K225" i="3"/>
  <c r="L225" i="3" s="1"/>
  <c r="N225" i="3" s="1"/>
  <c r="O225" i="3" s="1"/>
  <c r="P225" i="3" s="1"/>
  <c r="F225" i="3"/>
  <c r="E225" i="3"/>
  <c r="K224" i="3"/>
  <c r="L224" i="3" s="1"/>
  <c r="N224" i="3" s="1"/>
  <c r="O224" i="3" s="1"/>
  <c r="P224" i="3" s="1"/>
  <c r="E224" i="3"/>
  <c r="F224" i="3" s="1"/>
  <c r="K223" i="3"/>
  <c r="L223" i="3" s="1"/>
  <c r="N223" i="3" s="1"/>
  <c r="O223" i="3" s="1"/>
  <c r="P223" i="3" s="1"/>
  <c r="E223" i="3"/>
  <c r="F223" i="3" s="1"/>
  <c r="K222" i="3"/>
  <c r="L222" i="3" s="1"/>
  <c r="N222" i="3" s="1"/>
  <c r="O222" i="3" s="1"/>
  <c r="P222" i="3" s="1"/>
  <c r="E222" i="3"/>
  <c r="F222" i="3" s="1"/>
  <c r="A222" i="3" s="1"/>
  <c r="K221" i="3"/>
  <c r="L221" i="3" s="1"/>
  <c r="N221" i="3" s="1"/>
  <c r="O221" i="3" s="1"/>
  <c r="P221" i="3" s="1"/>
  <c r="F221" i="3"/>
  <c r="E221" i="3"/>
  <c r="K220" i="3"/>
  <c r="L220" i="3" s="1"/>
  <c r="N220" i="3" s="1"/>
  <c r="O220" i="3" s="1"/>
  <c r="P220" i="3" s="1"/>
  <c r="E220" i="3"/>
  <c r="F220" i="3" s="1"/>
  <c r="K219" i="3"/>
  <c r="L219" i="3" s="1"/>
  <c r="N219" i="3" s="1"/>
  <c r="O219" i="3" s="1"/>
  <c r="P219" i="3" s="1"/>
  <c r="E219" i="3"/>
  <c r="F219" i="3" s="1"/>
  <c r="K218" i="3"/>
  <c r="L218" i="3" s="1"/>
  <c r="N218" i="3" s="1"/>
  <c r="O218" i="3" s="1"/>
  <c r="P218" i="3" s="1"/>
  <c r="E218" i="3"/>
  <c r="F218" i="3" s="1"/>
  <c r="K217" i="3"/>
  <c r="L217" i="3" s="1"/>
  <c r="N217" i="3" s="1"/>
  <c r="O217" i="3" s="1"/>
  <c r="P217" i="3" s="1"/>
  <c r="E217" i="3"/>
  <c r="F217" i="3" s="1"/>
  <c r="K216" i="3"/>
  <c r="L216" i="3" s="1"/>
  <c r="N216" i="3" s="1"/>
  <c r="O216" i="3" s="1"/>
  <c r="P216" i="3" s="1"/>
  <c r="E216" i="3"/>
  <c r="F216" i="3" s="1"/>
  <c r="K215" i="3"/>
  <c r="L215" i="3" s="1"/>
  <c r="N215" i="3" s="1"/>
  <c r="O215" i="3" s="1"/>
  <c r="P215" i="3" s="1"/>
  <c r="F215" i="3"/>
  <c r="A215" i="3" s="1"/>
  <c r="E215" i="3"/>
  <c r="K214" i="3"/>
  <c r="L214" i="3" s="1"/>
  <c r="N214" i="3" s="1"/>
  <c r="O214" i="3" s="1"/>
  <c r="P214" i="3" s="1"/>
  <c r="E214" i="3"/>
  <c r="F214" i="3" s="1"/>
  <c r="K213" i="3"/>
  <c r="L213" i="3" s="1"/>
  <c r="N213" i="3" s="1"/>
  <c r="O213" i="3" s="1"/>
  <c r="P213" i="3" s="1"/>
  <c r="F213" i="3"/>
  <c r="E213" i="3"/>
  <c r="K212" i="3"/>
  <c r="L212" i="3" s="1"/>
  <c r="N212" i="3" s="1"/>
  <c r="O212" i="3" s="1"/>
  <c r="P212" i="3" s="1"/>
  <c r="E212" i="3"/>
  <c r="F212" i="3" s="1"/>
  <c r="K211" i="3"/>
  <c r="L211" i="3" s="1"/>
  <c r="N211" i="3" s="1"/>
  <c r="O211" i="3" s="1"/>
  <c r="P211" i="3" s="1"/>
  <c r="E211" i="3"/>
  <c r="F211" i="3" s="1"/>
  <c r="K210" i="3"/>
  <c r="L210" i="3" s="1"/>
  <c r="N210" i="3" s="1"/>
  <c r="O210" i="3" s="1"/>
  <c r="P210" i="3" s="1"/>
  <c r="E210" i="3"/>
  <c r="F210" i="3" s="1"/>
  <c r="K209" i="3"/>
  <c r="L209" i="3" s="1"/>
  <c r="N209" i="3" s="1"/>
  <c r="O209" i="3" s="1"/>
  <c r="P209" i="3" s="1"/>
  <c r="E209" i="3"/>
  <c r="F209" i="3" s="1"/>
  <c r="K208" i="3"/>
  <c r="L208" i="3" s="1"/>
  <c r="N208" i="3" s="1"/>
  <c r="O208" i="3" s="1"/>
  <c r="P208" i="3" s="1"/>
  <c r="E208" i="3"/>
  <c r="F208" i="3" s="1"/>
  <c r="K207" i="3"/>
  <c r="L207" i="3" s="1"/>
  <c r="N207" i="3" s="1"/>
  <c r="O207" i="3" s="1"/>
  <c r="P207" i="3" s="1"/>
  <c r="F207" i="3"/>
  <c r="E207" i="3"/>
  <c r="K206" i="3"/>
  <c r="L206" i="3" s="1"/>
  <c r="N206" i="3" s="1"/>
  <c r="O206" i="3" s="1"/>
  <c r="P206" i="3" s="1"/>
  <c r="E206" i="3"/>
  <c r="F206" i="3" s="1"/>
  <c r="K205" i="3"/>
  <c r="L205" i="3" s="1"/>
  <c r="N205" i="3" s="1"/>
  <c r="O205" i="3" s="1"/>
  <c r="P205" i="3" s="1"/>
  <c r="A205" i="3" s="1"/>
  <c r="F205" i="3"/>
  <c r="E205" i="3"/>
  <c r="K204" i="3"/>
  <c r="L204" i="3" s="1"/>
  <c r="N204" i="3" s="1"/>
  <c r="O204" i="3" s="1"/>
  <c r="P204" i="3" s="1"/>
  <c r="E204" i="3"/>
  <c r="F204" i="3" s="1"/>
  <c r="K203" i="3"/>
  <c r="L203" i="3" s="1"/>
  <c r="N203" i="3" s="1"/>
  <c r="O203" i="3" s="1"/>
  <c r="P203" i="3" s="1"/>
  <c r="E203" i="3"/>
  <c r="F203" i="3" s="1"/>
  <c r="K202" i="3"/>
  <c r="L202" i="3" s="1"/>
  <c r="N202" i="3" s="1"/>
  <c r="O202" i="3" s="1"/>
  <c r="P202" i="3" s="1"/>
  <c r="E202" i="3"/>
  <c r="F202" i="3" s="1"/>
  <c r="K201" i="3"/>
  <c r="L201" i="3" s="1"/>
  <c r="N201" i="3" s="1"/>
  <c r="O201" i="3" s="1"/>
  <c r="P201" i="3" s="1"/>
  <c r="E201" i="3"/>
  <c r="F201" i="3" s="1"/>
  <c r="K200" i="3"/>
  <c r="L200" i="3" s="1"/>
  <c r="N200" i="3" s="1"/>
  <c r="O200" i="3" s="1"/>
  <c r="P200" i="3" s="1"/>
  <c r="E200" i="3"/>
  <c r="F200" i="3" s="1"/>
  <c r="K199" i="3"/>
  <c r="L199" i="3" s="1"/>
  <c r="N199" i="3" s="1"/>
  <c r="O199" i="3" s="1"/>
  <c r="P199" i="3" s="1"/>
  <c r="E199" i="3"/>
  <c r="F199" i="3" s="1"/>
  <c r="L198" i="3"/>
  <c r="N198" i="3" s="1"/>
  <c r="O198" i="3" s="1"/>
  <c r="P198" i="3" s="1"/>
  <c r="K198" i="3"/>
  <c r="E198" i="3"/>
  <c r="F198" i="3" s="1"/>
  <c r="K197" i="3"/>
  <c r="L197" i="3" s="1"/>
  <c r="N197" i="3" s="1"/>
  <c r="O197" i="3" s="1"/>
  <c r="P197" i="3" s="1"/>
  <c r="A197" i="3" s="1"/>
  <c r="F197" i="3"/>
  <c r="E197" i="3"/>
  <c r="K196" i="3"/>
  <c r="L196" i="3" s="1"/>
  <c r="N196" i="3" s="1"/>
  <c r="O196" i="3" s="1"/>
  <c r="P196" i="3" s="1"/>
  <c r="E196" i="3"/>
  <c r="F196" i="3" s="1"/>
  <c r="K195" i="3"/>
  <c r="L195" i="3" s="1"/>
  <c r="N195" i="3" s="1"/>
  <c r="O195" i="3" s="1"/>
  <c r="P195" i="3" s="1"/>
  <c r="E195" i="3"/>
  <c r="F195" i="3" s="1"/>
  <c r="K194" i="3"/>
  <c r="L194" i="3" s="1"/>
  <c r="N194" i="3" s="1"/>
  <c r="O194" i="3" s="1"/>
  <c r="P194" i="3" s="1"/>
  <c r="E194" i="3"/>
  <c r="F194" i="3" s="1"/>
  <c r="K193" i="3"/>
  <c r="L193" i="3" s="1"/>
  <c r="N193" i="3" s="1"/>
  <c r="O193" i="3" s="1"/>
  <c r="P193" i="3" s="1"/>
  <c r="E193" i="3"/>
  <c r="F193" i="3" s="1"/>
  <c r="K192" i="3"/>
  <c r="L192" i="3" s="1"/>
  <c r="N192" i="3" s="1"/>
  <c r="O192" i="3" s="1"/>
  <c r="P192" i="3" s="1"/>
  <c r="E192" i="3"/>
  <c r="F192" i="3" s="1"/>
  <c r="K191" i="3"/>
  <c r="L191" i="3" s="1"/>
  <c r="N191" i="3" s="1"/>
  <c r="O191" i="3" s="1"/>
  <c r="P191" i="3" s="1"/>
  <c r="E191" i="3"/>
  <c r="F191" i="3" s="1"/>
  <c r="K190" i="3"/>
  <c r="L190" i="3" s="1"/>
  <c r="N190" i="3" s="1"/>
  <c r="O190" i="3" s="1"/>
  <c r="P190" i="3" s="1"/>
  <c r="E190" i="3"/>
  <c r="F190" i="3" s="1"/>
  <c r="N189" i="3"/>
  <c r="O189" i="3" s="1"/>
  <c r="P189" i="3" s="1"/>
  <c r="K189" i="3"/>
  <c r="L189" i="3" s="1"/>
  <c r="E189" i="3"/>
  <c r="F189" i="3" s="1"/>
  <c r="K188" i="3"/>
  <c r="L188" i="3" s="1"/>
  <c r="N188" i="3" s="1"/>
  <c r="O188" i="3" s="1"/>
  <c r="P188" i="3" s="1"/>
  <c r="E188" i="3"/>
  <c r="F188" i="3" s="1"/>
  <c r="K187" i="3"/>
  <c r="L187" i="3" s="1"/>
  <c r="N187" i="3" s="1"/>
  <c r="O187" i="3" s="1"/>
  <c r="P187" i="3" s="1"/>
  <c r="E187" i="3"/>
  <c r="F187" i="3" s="1"/>
  <c r="K186" i="3"/>
  <c r="L186" i="3" s="1"/>
  <c r="N186" i="3" s="1"/>
  <c r="O186" i="3" s="1"/>
  <c r="P186" i="3" s="1"/>
  <c r="E186" i="3"/>
  <c r="F186" i="3" s="1"/>
  <c r="K185" i="3"/>
  <c r="L185" i="3" s="1"/>
  <c r="N185" i="3" s="1"/>
  <c r="O185" i="3" s="1"/>
  <c r="P185" i="3" s="1"/>
  <c r="E185" i="3"/>
  <c r="F185" i="3" s="1"/>
  <c r="K184" i="3"/>
  <c r="L184" i="3" s="1"/>
  <c r="N184" i="3" s="1"/>
  <c r="O184" i="3" s="1"/>
  <c r="P184" i="3" s="1"/>
  <c r="E184" i="3"/>
  <c r="F184" i="3" s="1"/>
  <c r="K183" i="3"/>
  <c r="L183" i="3" s="1"/>
  <c r="N183" i="3" s="1"/>
  <c r="O183" i="3" s="1"/>
  <c r="P183" i="3" s="1"/>
  <c r="E183" i="3"/>
  <c r="F183" i="3" s="1"/>
  <c r="K182" i="3"/>
  <c r="L182" i="3" s="1"/>
  <c r="N182" i="3" s="1"/>
  <c r="O182" i="3" s="1"/>
  <c r="P182" i="3" s="1"/>
  <c r="E182" i="3"/>
  <c r="F182" i="3" s="1"/>
  <c r="K181" i="3"/>
  <c r="L181" i="3" s="1"/>
  <c r="N181" i="3" s="1"/>
  <c r="O181" i="3" s="1"/>
  <c r="P181" i="3" s="1"/>
  <c r="E181" i="3"/>
  <c r="F181" i="3" s="1"/>
  <c r="K180" i="3"/>
  <c r="L180" i="3" s="1"/>
  <c r="N180" i="3" s="1"/>
  <c r="O180" i="3" s="1"/>
  <c r="P180" i="3" s="1"/>
  <c r="E180" i="3"/>
  <c r="F180" i="3" s="1"/>
  <c r="N179" i="3"/>
  <c r="O179" i="3" s="1"/>
  <c r="P179" i="3" s="1"/>
  <c r="K179" i="3"/>
  <c r="L179" i="3" s="1"/>
  <c r="E179" i="3"/>
  <c r="F179" i="3" s="1"/>
  <c r="K178" i="3"/>
  <c r="L178" i="3" s="1"/>
  <c r="N178" i="3" s="1"/>
  <c r="O178" i="3" s="1"/>
  <c r="P178" i="3" s="1"/>
  <c r="E178" i="3"/>
  <c r="F178" i="3" s="1"/>
  <c r="K177" i="3"/>
  <c r="L177" i="3" s="1"/>
  <c r="N177" i="3" s="1"/>
  <c r="O177" i="3" s="1"/>
  <c r="P177" i="3" s="1"/>
  <c r="E177" i="3"/>
  <c r="F177" i="3" s="1"/>
  <c r="K176" i="3"/>
  <c r="L176" i="3" s="1"/>
  <c r="N176" i="3" s="1"/>
  <c r="O176" i="3" s="1"/>
  <c r="P176" i="3" s="1"/>
  <c r="E176" i="3"/>
  <c r="F176" i="3" s="1"/>
  <c r="K175" i="3"/>
  <c r="L175" i="3" s="1"/>
  <c r="N175" i="3" s="1"/>
  <c r="O175" i="3" s="1"/>
  <c r="P175" i="3" s="1"/>
  <c r="E175" i="3"/>
  <c r="F175" i="3" s="1"/>
  <c r="K174" i="3"/>
  <c r="L174" i="3" s="1"/>
  <c r="N174" i="3" s="1"/>
  <c r="O174" i="3" s="1"/>
  <c r="P174" i="3" s="1"/>
  <c r="E174" i="3"/>
  <c r="F174" i="3" s="1"/>
  <c r="N173" i="3"/>
  <c r="O173" i="3" s="1"/>
  <c r="P173" i="3" s="1"/>
  <c r="K173" i="3"/>
  <c r="L173" i="3" s="1"/>
  <c r="E173" i="3"/>
  <c r="F173" i="3" s="1"/>
  <c r="K172" i="3"/>
  <c r="L172" i="3" s="1"/>
  <c r="N172" i="3" s="1"/>
  <c r="O172" i="3" s="1"/>
  <c r="P172" i="3" s="1"/>
  <c r="E172" i="3"/>
  <c r="F172" i="3" s="1"/>
  <c r="K171" i="3"/>
  <c r="L171" i="3" s="1"/>
  <c r="N171" i="3" s="1"/>
  <c r="O171" i="3" s="1"/>
  <c r="P171" i="3" s="1"/>
  <c r="E171" i="3"/>
  <c r="F171" i="3" s="1"/>
  <c r="K170" i="3"/>
  <c r="L170" i="3" s="1"/>
  <c r="N170" i="3" s="1"/>
  <c r="O170" i="3" s="1"/>
  <c r="P170" i="3" s="1"/>
  <c r="E170" i="3"/>
  <c r="F170" i="3" s="1"/>
  <c r="K169" i="3"/>
  <c r="L169" i="3" s="1"/>
  <c r="N169" i="3" s="1"/>
  <c r="O169" i="3" s="1"/>
  <c r="P169" i="3" s="1"/>
  <c r="E169" i="3"/>
  <c r="F169" i="3" s="1"/>
  <c r="K168" i="3"/>
  <c r="L168" i="3" s="1"/>
  <c r="N168" i="3" s="1"/>
  <c r="O168" i="3" s="1"/>
  <c r="P168" i="3" s="1"/>
  <c r="E168" i="3"/>
  <c r="F168" i="3" s="1"/>
  <c r="K167" i="3"/>
  <c r="L167" i="3" s="1"/>
  <c r="N167" i="3" s="1"/>
  <c r="O167" i="3" s="1"/>
  <c r="P167" i="3" s="1"/>
  <c r="E167" i="3"/>
  <c r="F167" i="3" s="1"/>
  <c r="K166" i="3"/>
  <c r="L166" i="3" s="1"/>
  <c r="N166" i="3" s="1"/>
  <c r="O166" i="3" s="1"/>
  <c r="P166" i="3" s="1"/>
  <c r="E166" i="3"/>
  <c r="F166" i="3" s="1"/>
  <c r="K165" i="3"/>
  <c r="L165" i="3" s="1"/>
  <c r="N165" i="3" s="1"/>
  <c r="O165" i="3" s="1"/>
  <c r="P165" i="3" s="1"/>
  <c r="E165" i="3"/>
  <c r="F165" i="3" s="1"/>
  <c r="K164" i="3"/>
  <c r="L164" i="3" s="1"/>
  <c r="N164" i="3" s="1"/>
  <c r="O164" i="3" s="1"/>
  <c r="P164" i="3" s="1"/>
  <c r="E164" i="3"/>
  <c r="F164" i="3" s="1"/>
  <c r="N163" i="3"/>
  <c r="O163" i="3" s="1"/>
  <c r="P163" i="3" s="1"/>
  <c r="K163" i="3"/>
  <c r="L163" i="3" s="1"/>
  <c r="E163" i="3"/>
  <c r="F163" i="3" s="1"/>
  <c r="K162" i="3"/>
  <c r="L162" i="3" s="1"/>
  <c r="N162" i="3" s="1"/>
  <c r="O162" i="3" s="1"/>
  <c r="P162" i="3" s="1"/>
  <c r="E162" i="3"/>
  <c r="F162" i="3" s="1"/>
  <c r="K161" i="3"/>
  <c r="L161" i="3" s="1"/>
  <c r="N161" i="3" s="1"/>
  <c r="O161" i="3" s="1"/>
  <c r="P161" i="3" s="1"/>
  <c r="E161" i="3"/>
  <c r="F161" i="3" s="1"/>
  <c r="K160" i="3"/>
  <c r="L160" i="3" s="1"/>
  <c r="N160" i="3" s="1"/>
  <c r="O160" i="3" s="1"/>
  <c r="P160" i="3" s="1"/>
  <c r="E160" i="3"/>
  <c r="F160" i="3" s="1"/>
  <c r="K159" i="3"/>
  <c r="L159" i="3" s="1"/>
  <c r="N159" i="3" s="1"/>
  <c r="O159" i="3" s="1"/>
  <c r="P159" i="3" s="1"/>
  <c r="E159" i="3"/>
  <c r="F159" i="3" s="1"/>
  <c r="K158" i="3"/>
  <c r="L158" i="3" s="1"/>
  <c r="N158" i="3" s="1"/>
  <c r="O158" i="3" s="1"/>
  <c r="P158" i="3" s="1"/>
  <c r="E158" i="3"/>
  <c r="F158" i="3" s="1"/>
  <c r="N157" i="3"/>
  <c r="O157" i="3" s="1"/>
  <c r="P157" i="3" s="1"/>
  <c r="K157" i="3"/>
  <c r="L157" i="3" s="1"/>
  <c r="E157" i="3"/>
  <c r="F157" i="3" s="1"/>
  <c r="K156" i="3"/>
  <c r="L156" i="3" s="1"/>
  <c r="N156" i="3" s="1"/>
  <c r="O156" i="3" s="1"/>
  <c r="P156" i="3" s="1"/>
  <c r="E156" i="3"/>
  <c r="F156" i="3" s="1"/>
  <c r="K155" i="3"/>
  <c r="L155" i="3" s="1"/>
  <c r="N155" i="3" s="1"/>
  <c r="O155" i="3" s="1"/>
  <c r="P155" i="3" s="1"/>
  <c r="E155" i="3"/>
  <c r="F155" i="3" s="1"/>
  <c r="K154" i="3"/>
  <c r="L154" i="3" s="1"/>
  <c r="N154" i="3" s="1"/>
  <c r="O154" i="3" s="1"/>
  <c r="P154" i="3" s="1"/>
  <c r="E154" i="3"/>
  <c r="F154" i="3" s="1"/>
  <c r="K153" i="3"/>
  <c r="L153" i="3" s="1"/>
  <c r="N153" i="3" s="1"/>
  <c r="O153" i="3" s="1"/>
  <c r="P153" i="3" s="1"/>
  <c r="E153" i="3"/>
  <c r="F153" i="3" s="1"/>
  <c r="K152" i="3"/>
  <c r="L152" i="3" s="1"/>
  <c r="N152" i="3" s="1"/>
  <c r="O152" i="3" s="1"/>
  <c r="P152" i="3" s="1"/>
  <c r="E152" i="3"/>
  <c r="F152" i="3" s="1"/>
  <c r="K151" i="3"/>
  <c r="L151" i="3" s="1"/>
  <c r="N151" i="3" s="1"/>
  <c r="O151" i="3" s="1"/>
  <c r="P151" i="3" s="1"/>
  <c r="E151" i="3"/>
  <c r="F151" i="3" s="1"/>
  <c r="K150" i="3"/>
  <c r="L150" i="3" s="1"/>
  <c r="N150" i="3" s="1"/>
  <c r="O150" i="3" s="1"/>
  <c r="P150" i="3" s="1"/>
  <c r="E150" i="3"/>
  <c r="F150" i="3" s="1"/>
  <c r="K149" i="3"/>
  <c r="L149" i="3" s="1"/>
  <c r="N149" i="3" s="1"/>
  <c r="O149" i="3" s="1"/>
  <c r="P149" i="3" s="1"/>
  <c r="E149" i="3"/>
  <c r="F149" i="3" s="1"/>
  <c r="K148" i="3"/>
  <c r="L148" i="3" s="1"/>
  <c r="N148" i="3" s="1"/>
  <c r="O148" i="3" s="1"/>
  <c r="P148" i="3" s="1"/>
  <c r="E148" i="3"/>
  <c r="F148" i="3" s="1"/>
  <c r="K147" i="3"/>
  <c r="L147" i="3" s="1"/>
  <c r="N147" i="3" s="1"/>
  <c r="O147" i="3" s="1"/>
  <c r="P147" i="3" s="1"/>
  <c r="E147" i="3"/>
  <c r="F147" i="3" s="1"/>
  <c r="N146" i="3"/>
  <c r="O146" i="3" s="1"/>
  <c r="P146" i="3" s="1"/>
  <c r="K146" i="3"/>
  <c r="L146" i="3" s="1"/>
  <c r="E146" i="3"/>
  <c r="F146" i="3" s="1"/>
  <c r="K145" i="3"/>
  <c r="L145" i="3" s="1"/>
  <c r="N145" i="3" s="1"/>
  <c r="O145" i="3" s="1"/>
  <c r="P145" i="3" s="1"/>
  <c r="F145" i="3"/>
  <c r="E145" i="3"/>
  <c r="K144" i="3"/>
  <c r="L144" i="3" s="1"/>
  <c r="N144" i="3" s="1"/>
  <c r="O144" i="3" s="1"/>
  <c r="P144" i="3" s="1"/>
  <c r="E144" i="3"/>
  <c r="F144" i="3" s="1"/>
  <c r="K143" i="3"/>
  <c r="L143" i="3" s="1"/>
  <c r="N143" i="3" s="1"/>
  <c r="O143" i="3" s="1"/>
  <c r="P143" i="3" s="1"/>
  <c r="E143" i="3"/>
  <c r="F143" i="3" s="1"/>
  <c r="K142" i="3"/>
  <c r="L142" i="3" s="1"/>
  <c r="N142" i="3" s="1"/>
  <c r="O142" i="3" s="1"/>
  <c r="P142" i="3" s="1"/>
  <c r="E142" i="3"/>
  <c r="F142" i="3" s="1"/>
  <c r="K141" i="3"/>
  <c r="L141" i="3" s="1"/>
  <c r="N141" i="3" s="1"/>
  <c r="O141" i="3" s="1"/>
  <c r="P141" i="3" s="1"/>
  <c r="E141" i="3"/>
  <c r="F141" i="3" s="1"/>
  <c r="K140" i="3"/>
  <c r="L140" i="3" s="1"/>
  <c r="N140" i="3" s="1"/>
  <c r="O140" i="3" s="1"/>
  <c r="P140" i="3" s="1"/>
  <c r="E140" i="3"/>
  <c r="F140" i="3" s="1"/>
  <c r="K139" i="3"/>
  <c r="L139" i="3" s="1"/>
  <c r="N139" i="3" s="1"/>
  <c r="O139" i="3" s="1"/>
  <c r="P139" i="3" s="1"/>
  <c r="E139" i="3"/>
  <c r="F139" i="3" s="1"/>
  <c r="K138" i="3"/>
  <c r="L138" i="3" s="1"/>
  <c r="N138" i="3" s="1"/>
  <c r="O138" i="3" s="1"/>
  <c r="P138" i="3" s="1"/>
  <c r="E138" i="3"/>
  <c r="F138" i="3" s="1"/>
  <c r="K137" i="3"/>
  <c r="L137" i="3" s="1"/>
  <c r="N137" i="3" s="1"/>
  <c r="O137" i="3" s="1"/>
  <c r="P137" i="3" s="1"/>
  <c r="E137" i="3"/>
  <c r="F137" i="3" s="1"/>
  <c r="K136" i="3"/>
  <c r="L136" i="3" s="1"/>
  <c r="N136" i="3" s="1"/>
  <c r="O136" i="3" s="1"/>
  <c r="P136" i="3" s="1"/>
  <c r="E136" i="3"/>
  <c r="F136" i="3" s="1"/>
  <c r="K135" i="3"/>
  <c r="L135" i="3" s="1"/>
  <c r="N135" i="3" s="1"/>
  <c r="O135" i="3" s="1"/>
  <c r="P135" i="3" s="1"/>
  <c r="E135" i="3"/>
  <c r="F135" i="3" s="1"/>
  <c r="K134" i="3"/>
  <c r="L134" i="3" s="1"/>
  <c r="N134" i="3" s="1"/>
  <c r="O134" i="3" s="1"/>
  <c r="P134" i="3" s="1"/>
  <c r="E134" i="3"/>
  <c r="F134" i="3" s="1"/>
  <c r="K133" i="3"/>
  <c r="L133" i="3" s="1"/>
  <c r="N133" i="3" s="1"/>
  <c r="O133" i="3" s="1"/>
  <c r="P133" i="3" s="1"/>
  <c r="E133" i="3"/>
  <c r="F133" i="3" s="1"/>
  <c r="K132" i="3"/>
  <c r="L132" i="3" s="1"/>
  <c r="N132" i="3" s="1"/>
  <c r="O132" i="3" s="1"/>
  <c r="P132" i="3" s="1"/>
  <c r="E132" i="3"/>
  <c r="F132" i="3" s="1"/>
  <c r="K131" i="3"/>
  <c r="L131" i="3" s="1"/>
  <c r="N131" i="3" s="1"/>
  <c r="O131" i="3" s="1"/>
  <c r="P131" i="3" s="1"/>
  <c r="E131" i="3"/>
  <c r="F131" i="3" s="1"/>
  <c r="K130" i="3"/>
  <c r="L130" i="3" s="1"/>
  <c r="N130" i="3" s="1"/>
  <c r="O130" i="3" s="1"/>
  <c r="P130" i="3" s="1"/>
  <c r="E130" i="3"/>
  <c r="F130" i="3" s="1"/>
  <c r="K129" i="3"/>
  <c r="L129" i="3" s="1"/>
  <c r="N129" i="3" s="1"/>
  <c r="O129" i="3" s="1"/>
  <c r="P129" i="3" s="1"/>
  <c r="E129" i="3"/>
  <c r="F129" i="3" s="1"/>
  <c r="K128" i="3"/>
  <c r="L128" i="3" s="1"/>
  <c r="N128" i="3" s="1"/>
  <c r="O128" i="3" s="1"/>
  <c r="P128" i="3" s="1"/>
  <c r="E128" i="3"/>
  <c r="F128" i="3" s="1"/>
  <c r="K127" i="3"/>
  <c r="L127" i="3" s="1"/>
  <c r="N127" i="3" s="1"/>
  <c r="O127" i="3" s="1"/>
  <c r="P127" i="3" s="1"/>
  <c r="E127" i="3"/>
  <c r="F127" i="3" s="1"/>
  <c r="K126" i="3"/>
  <c r="L126" i="3" s="1"/>
  <c r="N126" i="3" s="1"/>
  <c r="O126" i="3" s="1"/>
  <c r="P126" i="3" s="1"/>
  <c r="E126" i="3"/>
  <c r="F126" i="3" s="1"/>
  <c r="K125" i="3"/>
  <c r="L125" i="3" s="1"/>
  <c r="N125" i="3" s="1"/>
  <c r="O125" i="3" s="1"/>
  <c r="P125" i="3" s="1"/>
  <c r="E125" i="3"/>
  <c r="F125" i="3" s="1"/>
  <c r="K124" i="3"/>
  <c r="L124" i="3" s="1"/>
  <c r="N124" i="3" s="1"/>
  <c r="O124" i="3" s="1"/>
  <c r="P124" i="3" s="1"/>
  <c r="E124" i="3"/>
  <c r="F124" i="3" s="1"/>
  <c r="L123" i="3"/>
  <c r="N123" i="3" s="1"/>
  <c r="O123" i="3" s="1"/>
  <c r="P123" i="3" s="1"/>
  <c r="K123" i="3"/>
  <c r="E123" i="3"/>
  <c r="F123" i="3" s="1"/>
  <c r="K122" i="3"/>
  <c r="L122" i="3" s="1"/>
  <c r="N122" i="3" s="1"/>
  <c r="O122" i="3" s="1"/>
  <c r="P122" i="3" s="1"/>
  <c r="E122" i="3"/>
  <c r="F122" i="3" s="1"/>
  <c r="K121" i="3"/>
  <c r="L121" i="3" s="1"/>
  <c r="N121" i="3" s="1"/>
  <c r="O121" i="3" s="1"/>
  <c r="P121" i="3" s="1"/>
  <c r="E121" i="3"/>
  <c r="F121" i="3" s="1"/>
  <c r="K120" i="3"/>
  <c r="L120" i="3" s="1"/>
  <c r="N120" i="3" s="1"/>
  <c r="O120" i="3" s="1"/>
  <c r="P120" i="3" s="1"/>
  <c r="E120" i="3"/>
  <c r="F120" i="3" s="1"/>
  <c r="K119" i="3"/>
  <c r="L119" i="3" s="1"/>
  <c r="N119" i="3" s="1"/>
  <c r="O119" i="3" s="1"/>
  <c r="P119" i="3" s="1"/>
  <c r="E119" i="3"/>
  <c r="F119" i="3" s="1"/>
  <c r="K118" i="3"/>
  <c r="L118" i="3" s="1"/>
  <c r="N118" i="3" s="1"/>
  <c r="O118" i="3" s="1"/>
  <c r="P118" i="3" s="1"/>
  <c r="E118" i="3"/>
  <c r="F118" i="3" s="1"/>
  <c r="K117" i="3"/>
  <c r="L117" i="3" s="1"/>
  <c r="N117" i="3" s="1"/>
  <c r="O117" i="3" s="1"/>
  <c r="P117" i="3" s="1"/>
  <c r="E117" i="3"/>
  <c r="F117" i="3" s="1"/>
  <c r="K116" i="3"/>
  <c r="L116" i="3" s="1"/>
  <c r="N116" i="3" s="1"/>
  <c r="O116" i="3" s="1"/>
  <c r="P116" i="3" s="1"/>
  <c r="E116" i="3"/>
  <c r="F116" i="3" s="1"/>
  <c r="K115" i="3"/>
  <c r="L115" i="3" s="1"/>
  <c r="N115" i="3" s="1"/>
  <c r="O115" i="3" s="1"/>
  <c r="P115" i="3" s="1"/>
  <c r="E115" i="3"/>
  <c r="F115" i="3" s="1"/>
  <c r="K114" i="3"/>
  <c r="L114" i="3" s="1"/>
  <c r="N114" i="3" s="1"/>
  <c r="O114" i="3" s="1"/>
  <c r="P114" i="3" s="1"/>
  <c r="E114" i="3"/>
  <c r="F114" i="3" s="1"/>
  <c r="K113" i="3"/>
  <c r="L113" i="3" s="1"/>
  <c r="N113" i="3" s="1"/>
  <c r="O113" i="3" s="1"/>
  <c r="P113" i="3" s="1"/>
  <c r="E113" i="3"/>
  <c r="F113" i="3" s="1"/>
  <c r="K112" i="3"/>
  <c r="L112" i="3" s="1"/>
  <c r="N112" i="3" s="1"/>
  <c r="O112" i="3" s="1"/>
  <c r="P112" i="3" s="1"/>
  <c r="E112" i="3"/>
  <c r="F112" i="3" s="1"/>
  <c r="K111" i="3"/>
  <c r="L111" i="3" s="1"/>
  <c r="N111" i="3" s="1"/>
  <c r="O111" i="3" s="1"/>
  <c r="P111" i="3" s="1"/>
  <c r="F111" i="3"/>
  <c r="E111" i="3"/>
  <c r="K110" i="3"/>
  <c r="L110" i="3" s="1"/>
  <c r="N110" i="3" s="1"/>
  <c r="O110" i="3" s="1"/>
  <c r="P110" i="3" s="1"/>
  <c r="F110" i="3"/>
  <c r="E110" i="3"/>
  <c r="K109" i="3"/>
  <c r="L109" i="3" s="1"/>
  <c r="N109" i="3" s="1"/>
  <c r="O109" i="3" s="1"/>
  <c r="P109" i="3" s="1"/>
  <c r="E109" i="3"/>
  <c r="F109" i="3" s="1"/>
  <c r="K108" i="3"/>
  <c r="L108" i="3" s="1"/>
  <c r="N108" i="3" s="1"/>
  <c r="O108" i="3" s="1"/>
  <c r="P108" i="3" s="1"/>
  <c r="E108" i="3"/>
  <c r="F108" i="3" s="1"/>
  <c r="K107" i="3"/>
  <c r="L107" i="3" s="1"/>
  <c r="N107" i="3" s="1"/>
  <c r="O107" i="3" s="1"/>
  <c r="P107" i="3" s="1"/>
  <c r="E107" i="3"/>
  <c r="F107" i="3" s="1"/>
  <c r="K106" i="3"/>
  <c r="L106" i="3" s="1"/>
  <c r="N106" i="3" s="1"/>
  <c r="O106" i="3" s="1"/>
  <c r="P106" i="3" s="1"/>
  <c r="E106" i="3"/>
  <c r="F106" i="3" s="1"/>
  <c r="K105" i="3"/>
  <c r="L105" i="3" s="1"/>
  <c r="N105" i="3" s="1"/>
  <c r="O105" i="3" s="1"/>
  <c r="P105" i="3" s="1"/>
  <c r="E105" i="3"/>
  <c r="F105" i="3" s="1"/>
  <c r="K104" i="3"/>
  <c r="L104" i="3" s="1"/>
  <c r="N104" i="3" s="1"/>
  <c r="O104" i="3" s="1"/>
  <c r="P104" i="3" s="1"/>
  <c r="E104" i="3"/>
  <c r="F104" i="3" s="1"/>
  <c r="K103" i="3"/>
  <c r="L103" i="3" s="1"/>
  <c r="N103" i="3" s="1"/>
  <c r="O103" i="3" s="1"/>
  <c r="P103" i="3" s="1"/>
  <c r="E103" i="3"/>
  <c r="F103" i="3" s="1"/>
  <c r="K102" i="3"/>
  <c r="L102" i="3" s="1"/>
  <c r="N102" i="3" s="1"/>
  <c r="O102" i="3" s="1"/>
  <c r="P102" i="3" s="1"/>
  <c r="E102" i="3"/>
  <c r="F102" i="3" s="1"/>
  <c r="K101" i="3"/>
  <c r="L101" i="3" s="1"/>
  <c r="N101" i="3" s="1"/>
  <c r="O101" i="3" s="1"/>
  <c r="P101" i="3" s="1"/>
  <c r="E101" i="3"/>
  <c r="F101" i="3" s="1"/>
  <c r="K100" i="3"/>
  <c r="L100" i="3" s="1"/>
  <c r="N100" i="3" s="1"/>
  <c r="O100" i="3" s="1"/>
  <c r="P100" i="3" s="1"/>
  <c r="E100" i="3"/>
  <c r="F100" i="3" s="1"/>
  <c r="K99" i="3"/>
  <c r="L99" i="3" s="1"/>
  <c r="N99" i="3" s="1"/>
  <c r="O99" i="3" s="1"/>
  <c r="P99" i="3" s="1"/>
  <c r="E99" i="3"/>
  <c r="F99" i="3" s="1"/>
  <c r="K98" i="3"/>
  <c r="L98" i="3" s="1"/>
  <c r="N98" i="3" s="1"/>
  <c r="O98" i="3" s="1"/>
  <c r="P98" i="3" s="1"/>
  <c r="E98" i="3"/>
  <c r="F98" i="3" s="1"/>
  <c r="K97" i="3"/>
  <c r="L97" i="3" s="1"/>
  <c r="N97" i="3" s="1"/>
  <c r="O97" i="3" s="1"/>
  <c r="P97" i="3" s="1"/>
  <c r="E97" i="3"/>
  <c r="F97" i="3" s="1"/>
  <c r="K96" i="3"/>
  <c r="L96" i="3" s="1"/>
  <c r="N96" i="3" s="1"/>
  <c r="O96" i="3" s="1"/>
  <c r="P96" i="3" s="1"/>
  <c r="E96" i="3"/>
  <c r="F96" i="3" s="1"/>
  <c r="L95" i="3"/>
  <c r="N95" i="3" s="1"/>
  <c r="O95" i="3" s="1"/>
  <c r="P95" i="3" s="1"/>
  <c r="K95" i="3"/>
  <c r="E95" i="3"/>
  <c r="F95" i="3" s="1"/>
  <c r="L94" i="3"/>
  <c r="N94" i="3" s="1"/>
  <c r="O94" i="3" s="1"/>
  <c r="P94" i="3" s="1"/>
  <c r="K94" i="3"/>
  <c r="E94" i="3"/>
  <c r="F94" i="3" s="1"/>
  <c r="K93" i="3"/>
  <c r="L93" i="3" s="1"/>
  <c r="N93" i="3" s="1"/>
  <c r="O93" i="3" s="1"/>
  <c r="P93" i="3" s="1"/>
  <c r="E93" i="3"/>
  <c r="F93" i="3" s="1"/>
  <c r="K92" i="3"/>
  <c r="L92" i="3" s="1"/>
  <c r="N92" i="3" s="1"/>
  <c r="O92" i="3" s="1"/>
  <c r="P92" i="3" s="1"/>
  <c r="E92" i="3"/>
  <c r="F92" i="3" s="1"/>
  <c r="K91" i="3"/>
  <c r="L91" i="3" s="1"/>
  <c r="N91" i="3" s="1"/>
  <c r="O91" i="3" s="1"/>
  <c r="P91" i="3" s="1"/>
  <c r="E91" i="3"/>
  <c r="F91" i="3" s="1"/>
  <c r="K90" i="3"/>
  <c r="L90" i="3" s="1"/>
  <c r="N90" i="3" s="1"/>
  <c r="O90" i="3" s="1"/>
  <c r="P90" i="3" s="1"/>
  <c r="E90" i="3"/>
  <c r="F90" i="3" s="1"/>
  <c r="L89" i="3"/>
  <c r="N89" i="3" s="1"/>
  <c r="O89" i="3" s="1"/>
  <c r="P89" i="3" s="1"/>
  <c r="K89" i="3"/>
  <c r="E89" i="3"/>
  <c r="F89" i="3" s="1"/>
  <c r="K88" i="3"/>
  <c r="L88" i="3" s="1"/>
  <c r="N88" i="3" s="1"/>
  <c r="O88" i="3" s="1"/>
  <c r="P88" i="3" s="1"/>
  <c r="E88" i="3"/>
  <c r="F88" i="3" s="1"/>
  <c r="K87" i="3"/>
  <c r="L87" i="3" s="1"/>
  <c r="N87" i="3" s="1"/>
  <c r="O87" i="3" s="1"/>
  <c r="P87" i="3" s="1"/>
  <c r="E87" i="3"/>
  <c r="F87" i="3" s="1"/>
  <c r="K86" i="3"/>
  <c r="L86" i="3" s="1"/>
  <c r="N86" i="3" s="1"/>
  <c r="O86" i="3" s="1"/>
  <c r="P86" i="3" s="1"/>
  <c r="E86" i="3"/>
  <c r="F86" i="3" s="1"/>
  <c r="K85" i="3"/>
  <c r="L85" i="3" s="1"/>
  <c r="N85" i="3" s="1"/>
  <c r="O85" i="3" s="1"/>
  <c r="P85" i="3" s="1"/>
  <c r="E85" i="3"/>
  <c r="F85" i="3" s="1"/>
  <c r="K84" i="3"/>
  <c r="L84" i="3" s="1"/>
  <c r="N84" i="3" s="1"/>
  <c r="O84" i="3" s="1"/>
  <c r="P84" i="3" s="1"/>
  <c r="E84" i="3"/>
  <c r="F84" i="3" s="1"/>
  <c r="K83" i="3"/>
  <c r="L83" i="3" s="1"/>
  <c r="N83" i="3" s="1"/>
  <c r="O83" i="3" s="1"/>
  <c r="P83" i="3" s="1"/>
  <c r="F83" i="3"/>
  <c r="E83" i="3"/>
  <c r="K82" i="3"/>
  <c r="L82" i="3" s="1"/>
  <c r="N82" i="3" s="1"/>
  <c r="O82" i="3" s="1"/>
  <c r="P82" i="3" s="1"/>
  <c r="E82" i="3"/>
  <c r="F82" i="3" s="1"/>
  <c r="K81" i="3"/>
  <c r="L81" i="3" s="1"/>
  <c r="N81" i="3" s="1"/>
  <c r="O81" i="3" s="1"/>
  <c r="P81" i="3" s="1"/>
  <c r="E81" i="3"/>
  <c r="F81" i="3" s="1"/>
  <c r="K80" i="3"/>
  <c r="L80" i="3" s="1"/>
  <c r="N80" i="3" s="1"/>
  <c r="O80" i="3" s="1"/>
  <c r="P80" i="3" s="1"/>
  <c r="E80" i="3"/>
  <c r="F80" i="3" s="1"/>
  <c r="K79" i="3"/>
  <c r="L79" i="3" s="1"/>
  <c r="N79" i="3" s="1"/>
  <c r="O79" i="3" s="1"/>
  <c r="P79" i="3" s="1"/>
  <c r="E79" i="3"/>
  <c r="F79" i="3" s="1"/>
  <c r="K78" i="3"/>
  <c r="L78" i="3" s="1"/>
  <c r="N78" i="3" s="1"/>
  <c r="O78" i="3" s="1"/>
  <c r="P78" i="3" s="1"/>
  <c r="F78" i="3"/>
  <c r="E78" i="3"/>
  <c r="K77" i="3"/>
  <c r="L77" i="3" s="1"/>
  <c r="N77" i="3" s="1"/>
  <c r="O77" i="3" s="1"/>
  <c r="P77" i="3" s="1"/>
  <c r="E77" i="3"/>
  <c r="F77" i="3" s="1"/>
  <c r="K76" i="3"/>
  <c r="L76" i="3" s="1"/>
  <c r="N76" i="3" s="1"/>
  <c r="O76" i="3" s="1"/>
  <c r="P76" i="3" s="1"/>
  <c r="E76" i="3"/>
  <c r="F76" i="3" s="1"/>
  <c r="K75" i="3"/>
  <c r="L75" i="3" s="1"/>
  <c r="N75" i="3" s="1"/>
  <c r="O75" i="3" s="1"/>
  <c r="P75" i="3" s="1"/>
  <c r="E75" i="3"/>
  <c r="F75" i="3" s="1"/>
  <c r="L74" i="3"/>
  <c r="N74" i="3" s="1"/>
  <c r="O74" i="3" s="1"/>
  <c r="P74" i="3" s="1"/>
  <c r="K74" i="3"/>
  <c r="E74" i="3"/>
  <c r="F74" i="3" s="1"/>
  <c r="K73" i="3"/>
  <c r="L73" i="3" s="1"/>
  <c r="N73" i="3" s="1"/>
  <c r="O73" i="3" s="1"/>
  <c r="P73" i="3" s="1"/>
  <c r="E73" i="3"/>
  <c r="F73" i="3" s="1"/>
  <c r="K72" i="3"/>
  <c r="L72" i="3" s="1"/>
  <c r="N72" i="3" s="1"/>
  <c r="O72" i="3" s="1"/>
  <c r="P72" i="3" s="1"/>
  <c r="E72" i="3"/>
  <c r="F72" i="3" s="1"/>
  <c r="K71" i="3"/>
  <c r="L71" i="3" s="1"/>
  <c r="N71" i="3" s="1"/>
  <c r="O71" i="3" s="1"/>
  <c r="P71" i="3" s="1"/>
  <c r="E71" i="3"/>
  <c r="F71" i="3" s="1"/>
  <c r="K70" i="3"/>
  <c r="L70" i="3" s="1"/>
  <c r="N70" i="3" s="1"/>
  <c r="O70" i="3" s="1"/>
  <c r="P70" i="3" s="1"/>
  <c r="E70" i="3"/>
  <c r="F70" i="3" s="1"/>
  <c r="K69" i="3"/>
  <c r="L69" i="3" s="1"/>
  <c r="N69" i="3" s="1"/>
  <c r="O69" i="3" s="1"/>
  <c r="P69" i="3" s="1"/>
  <c r="E69" i="3"/>
  <c r="F69" i="3" s="1"/>
  <c r="K68" i="3"/>
  <c r="L68" i="3" s="1"/>
  <c r="N68" i="3" s="1"/>
  <c r="O68" i="3" s="1"/>
  <c r="P68" i="3" s="1"/>
  <c r="E68" i="3"/>
  <c r="F68" i="3" s="1"/>
  <c r="A68" i="3" s="1"/>
  <c r="K67" i="3"/>
  <c r="L67" i="3" s="1"/>
  <c r="N67" i="3" s="1"/>
  <c r="O67" i="3" s="1"/>
  <c r="P67" i="3" s="1"/>
  <c r="E67" i="3"/>
  <c r="F67" i="3" s="1"/>
  <c r="K66" i="3"/>
  <c r="L66" i="3" s="1"/>
  <c r="N66" i="3" s="1"/>
  <c r="O66" i="3" s="1"/>
  <c r="P66" i="3" s="1"/>
  <c r="E66" i="3"/>
  <c r="F66" i="3" s="1"/>
  <c r="L65" i="3"/>
  <c r="N65" i="3" s="1"/>
  <c r="O65" i="3" s="1"/>
  <c r="P65" i="3" s="1"/>
  <c r="K65" i="3"/>
  <c r="E65" i="3"/>
  <c r="F65" i="3" s="1"/>
  <c r="K64" i="3"/>
  <c r="L64" i="3" s="1"/>
  <c r="N64" i="3" s="1"/>
  <c r="O64" i="3" s="1"/>
  <c r="P64" i="3" s="1"/>
  <c r="F64" i="3"/>
  <c r="E64" i="3"/>
  <c r="K63" i="3"/>
  <c r="L63" i="3" s="1"/>
  <c r="N63" i="3" s="1"/>
  <c r="O63" i="3" s="1"/>
  <c r="P63" i="3" s="1"/>
  <c r="E63" i="3"/>
  <c r="F63" i="3" s="1"/>
  <c r="K62" i="3"/>
  <c r="L62" i="3" s="1"/>
  <c r="N62" i="3" s="1"/>
  <c r="O62" i="3" s="1"/>
  <c r="P62" i="3" s="1"/>
  <c r="E62" i="3"/>
  <c r="F62" i="3" s="1"/>
  <c r="K61" i="3"/>
  <c r="L61" i="3" s="1"/>
  <c r="N61" i="3" s="1"/>
  <c r="O61" i="3" s="1"/>
  <c r="P61" i="3" s="1"/>
  <c r="F61" i="3"/>
  <c r="E61" i="3"/>
  <c r="K60" i="3"/>
  <c r="L60" i="3" s="1"/>
  <c r="N60" i="3" s="1"/>
  <c r="O60" i="3" s="1"/>
  <c r="P60" i="3" s="1"/>
  <c r="E60" i="3"/>
  <c r="F60" i="3" s="1"/>
  <c r="K59" i="3"/>
  <c r="L59" i="3" s="1"/>
  <c r="N59" i="3" s="1"/>
  <c r="O59" i="3" s="1"/>
  <c r="P59" i="3" s="1"/>
  <c r="E59" i="3"/>
  <c r="F59" i="3" s="1"/>
  <c r="K58" i="3"/>
  <c r="L58" i="3" s="1"/>
  <c r="N58" i="3" s="1"/>
  <c r="O58" i="3" s="1"/>
  <c r="P58" i="3" s="1"/>
  <c r="E58" i="3"/>
  <c r="F58" i="3" s="1"/>
  <c r="K57" i="3"/>
  <c r="L57" i="3" s="1"/>
  <c r="N57" i="3" s="1"/>
  <c r="O57" i="3" s="1"/>
  <c r="P57" i="3" s="1"/>
  <c r="E57" i="3"/>
  <c r="F57" i="3" s="1"/>
  <c r="K56" i="3"/>
  <c r="L56" i="3" s="1"/>
  <c r="N56" i="3" s="1"/>
  <c r="O56" i="3" s="1"/>
  <c r="P56" i="3" s="1"/>
  <c r="E56" i="3"/>
  <c r="F56" i="3" s="1"/>
  <c r="K55" i="3"/>
  <c r="L55" i="3" s="1"/>
  <c r="N55" i="3" s="1"/>
  <c r="O55" i="3" s="1"/>
  <c r="P55" i="3" s="1"/>
  <c r="E55" i="3"/>
  <c r="F55" i="3" s="1"/>
  <c r="K54" i="3"/>
  <c r="L54" i="3" s="1"/>
  <c r="N54" i="3" s="1"/>
  <c r="O54" i="3" s="1"/>
  <c r="P54" i="3" s="1"/>
  <c r="E54" i="3"/>
  <c r="F54" i="3" s="1"/>
  <c r="K53" i="3"/>
  <c r="L53" i="3" s="1"/>
  <c r="N53" i="3" s="1"/>
  <c r="O53" i="3" s="1"/>
  <c r="P53" i="3" s="1"/>
  <c r="E53" i="3"/>
  <c r="F53" i="3" s="1"/>
  <c r="K52" i="3"/>
  <c r="L52" i="3" s="1"/>
  <c r="N52" i="3" s="1"/>
  <c r="O52" i="3" s="1"/>
  <c r="P52" i="3" s="1"/>
  <c r="E52" i="3"/>
  <c r="F52" i="3" s="1"/>
  <c r="K51" i="3"/>
  <c r="L51" i="3" s="1"/>
  <c r="N51" i="3" s="1"/>
  <c r="O51" i="3" s="1"/>
  <c r="P51" i="3" s="1"/>
  <c r="E51" i="3"/>
  <c r="F51" i="3" s="1"/>
  <c r="K50" i="3"/>
  <c r="L50" i="3" s="1"/>
  <c r="N50" i="3" s="1"/>
  <c r="O50" i="3" s="1"/>
  <c r="P50" i="3" s="1"/>
  <c r="E50" i="3"/>
  <c r="F50" i="3" s="1"/>
  <c r="K49" i="3"/>
  <c r="L49" i="3" s="1"/>
  <c r="N49" i="3" s="1"/>
  <c r="O49" i="3" s="1"/>
  <c r="P49" i="3" s="1"/>
  <c r="E49" i="3"/>
  <c r="F49" i="3" s="1"/>
  <c r="K48" i="3"/>
  <c r="L48" i="3" s="1"/>
  <c r="N48" i="3" s="1"/>
  <c r="O48" i="3" s="1"/>
  <c r="P48" i="3" s="1"/>
  <c r="E48" i="3"/>
  <c r="F48" i="3" s="1"/>
  <c r="K47" i="3"/>
  <c r="L47" i="3" s="1"/>
  <c r="N47" i="3" s="1"/>
  <c r="O47" i="3" s="1"/>
  <c r="P47" i="3" s="1"/>
  <c r="E47" i="3"/>
  <c r="F47" i="3" s="1"/>
  <c r="K46" i="3"/>
  <c r="L46" i="3" s="1"/>
  <c r="N46" i="3" s="1"/>
  <c r="O46" i="3" s="1"/>
  <c r="P46" i="3" s="1"/>
  <c r="E46" i="3"/>
  <c r="F46" i="3" s="1"/>
  <c r="K45" i="3"/>
  <c r="L45" i="3" s="1"/>
  <c r="N45" i="3" s="1"/>
  <c r="O45" i="3" s="1"/>
  <c r="P45" i="3" s="1"/>
  <c r="E45" i="3"/>
  <c r="F45" i="3" s="1"/>
  <c r="K44" i="3"/>
  <c r="L44" i="3" s="1"/>
  <c r="N44" i="3" s="1"/>
  <c r="O44" i="3" s="1"/>
  <c r="P44" i="3" s="1"/>
  <c r="E44" i="3"/>
  <c r="F44" i="3" s="1"/>
  <c r="K43" i="3"/>
  <c r="L43" i="3" s="1"/>
  <c r="N43" i="3" s="1"/>
  <c r="O43" i="3" s="1"/>
  <c r="P43" i="3" s="1"/>
  <c r="E43" i="3"/>
  <c r="F43" i="3" s="1"/>
  <c r="K42" i="3"/>
  <c r="L42" i="3" s="1"/>
  <c r="N42" i="3" s="1"/>
  <c r="O42" i="3" s="1"/>
  <c r="P42" i="3" s="1"/>
  <c r="E42" i="3"/>
  <c r="F42" i="3" s="1"/>
  <c r="K41" i="3"/>
  <c r="L41" i="3" s="1"/>
  <c r="N41" i="3" s="1"/>
  <c r="O41" i="3" s="1"/>
  <c r="P41" i="3" s="1"/>
  <c r="E41" i="3"/>
  <c r="F41" i="3" s="1"/>
  <c r="K40" i="3"/>
  <c r="L40" i="3" s="1"/>
  <c r="N40" i="3" s="1"/>
  <c r="O40" i="3" s="1"/>
  <c r="P40" i="3" s="1"/>
  <c r="E40" i="3"/>
  <c r="F40" i="3" s="1"/>
  <c r="K39" i="3"/>
  <c r="L39" i="3" s="1"/>
  <c r="N39" i="3" s="1"/>
  <c r="O39" i="3" s="1"/>
  <c r="P39" i="3" s="1"/>
  <c r="E39" i="3"/>
  <c r="F39" i="3" s="1"/>
  <c r="K38" i="3"/>
  <c r="L38" i="3" s="1"/>
  <c r="N38" i="3" s="1"/>
  <c r="O38" i="3" s="1"/>
  <c r="P38" i="3" s="1"/>
  <c r="E38" i="3"/>
  <c r="F38" i="3" s="1"/>
  <c r="K37" i="3"/>
  <c r="L37" i="3" s="1"/>
  <c r="N37" i="3" s="1"/>
  <c r="O37" i="3" s="1"/>
  <c r="P37" i="3" s="1"/>
  <c r="E37" i="3"/>
  <c r="F37" i="3" s="1"/>
  <c r="K36" i="3"/>
  <c r="L36" i="3" s="1"/>
  <c r="N36" i="3" s="1"/>
  <c r="O36" i="3" s="1"/>
  <c r="P36" i="3" s="1"/>
  <c r="E36" i="3"/>
  <c r="F36" i="3" s="1"/>
  <c r="K35" i="3"/>
  <c r="L35" i="3" s="1"/>
  <c r="N35" i="3" s="1"/>
  <c r="O35" i="3" s="1"/>
  <c r="P35" i="3" s="1"/>
  <c r="E35" i="3"/>
  <c r="F35" i="3" s="1"/>
  <c r="K34" i="3"/>
  <c r="L34" i="3" s="1"/>
  <c r="N34" i="3" s="1"/>
  <c r="O34" i="3" s="1"/>
  <c r="P34" i="3" s="1"/>
  <c r="E34" i="3"/>
  <c r="F34" i="3" s="1"/>
  <c r="K33" i="3"/>
  <c r="L33" i="3" s="1"/>
  <c r="N33" i="3" s="1"/>
  <c r="O33" i="3" s="1"/>
  <c r="P33" i="3" s="1"/>
  <c r="E33" i="3"/>
  <c r="F33" i="3" s="1"/>
  <c r="K32" i="3"/>
  <c r="L32" i="3" s="1"/>
  <c r="N32" i="3" s="1"/>
  <c r="O32" i="3" s="1"/>
  <c r="P32" i="3" s="1"/>
  <c r="E32" i="3"/>
  <c r="F32" i="3" s="1"/>
  <c r="K31" i="3"/>
  <c r="L31" i="3" s="1"/>
  <c r="N31" i="3" s="1"/>
  <c r="O31" i="3" s="1"/>
  <c r="P31" i="3" s="1"/>
  <c r="E31" i="3"/>
  <c r="F31" i="3" s="1"/>
  <c r="K30" i="3"/>
  <c r="L30" i="3" s="1"/>
  <c r="N30" i="3" s="1"/>
  <c r="O30" i="3" s="1"/>
  <c r="P30" i="3" s="1"/>
  <c r="E30" i="3"/>
  <c r="F30" i="3" s="1"/>
  <c r="K29" i="3"/>
  <c r="L29" i="3" s="1"/>
  <c r="N29" i="3" s="1"/>
  <c r="O29" i="3" s="1"/>
  <c r="P29" i="3" s="1"/>
  <c r="E29" i="3"/>
  <c r="F29" i="3" s="1"/>
  <c r="K28" i="3"/>
  <c r="L28" i="3" s="1"/>
  <c r="N28" i="3" s="1"/>
  <c r="O28" i="3" s="1"/>
  <c r="P28" i="3" s="1"/>
  <c r="E28" i="3"/>
  <c r="F28" i="3" s="1"/>
  <c r="K27" i="3"/>
  <c r="L27" i="3" s="1"/>
  <c r="N27" i="3" s="1"/>
  <c r="O27" i="3" s="1"/>
  <c r="P27" i="3" s="1"/>
  <c r="E27" i="3"/>
  <c r="F27" i="3" s="1"/>
  <c r="K26" i="3"/>
  <c r="L26" i="3" s="1"/>
  <c r="N26" i="3" s="1"/>
  <c r="O26" i="3" s="1"/>
  <c r="P26" i="3" s="1"/>
  <c r="E26" i="3"/>
  <c r="F26" i="3" s="1"/>
  <c r="K25" i="3"/>
  <c r="L25" i="3" s="1"/>
  <c r="N25" i="3" s="1"/>
  <c r="O25" i="3" s="1"/>
  <c r="P25" i="3" s="1"/>
  <c r="E25" i="3"/>
  <c r="F25" i="3" s="1"/>
  <c r="K24" i="3"/>
  <c r="L24" i="3" s="1"/>
  <c r="N24" i="3" s="1"/>
  <c r="O24" i="3" s="1"/>
  <c r="P24" i="3" s="1"/>
  <c r="E24" i="3"/>
  <c r="F24" i="3" s="1"/>
  <c r="K23" i="3"/>
  <c r="L23" i="3" s="1"/>
  <c r="N23" i="3" s="1"/>
  <c r="O23" i="3" s="1"/>
  <c r="P23" i="3" s="1"/>
  <c r="E23" i="3"/>
  <c r="F23" i="3" s="1"/>
  <c r="K22" i="3"/>
  <c r="L22" i="3" s="1"/>
  <c r="N22" i="3" s="1"/>
  <c r="O22" i="3" s="1"/>
  <c r="P22" i="3" s="1"/>
  <c r="E22" i="3"/>
  <c r="F22" i="3" s="1"/>
  <c r="K21" i="3"/>
  <c r="L21" i="3" s="1"/>
  <c r="N21" i="3" s="1"/>
  <c r="O21" i="3" s="1"/>
  <c r="P21" i="3" s="1"/>
  <c r="E21" i="3"/>
  <c r="F21" i="3" s="1"/>
  <c r="K20" i="3"/>
  <c r="L20" i="3" s="1"/>
  <c r="N20" i="3" s="1"/>
  <c r="O20" i="3" s="1"/>
  <c r="P20" i="3" s="1"/>
  <c r="E20" i="3"/>
  <c r="F20" i="3" s="1"/>
  <c r="K19" i="3"/>
  <c r="L19" i="3" s="1"/>
  <c r="N19" i="3" s="1"/>
  <c r="O19" i="3" s="1"/>
  <c r="P19" i="3" s="1"/>
  <c r="E19" i="3"/>
  <c r="F19" i="3" s="1"/>
  <c r="K18" i="3"/>
  <c r="L18" i="3" s="1"/>
  <c r="N18" i="3" s="1"/>
  <c r="O18" i="3" s="1"/>
  <c r="P18" i="3" s="1"/>
  <c r="E18" i="3"/>
  <c r="F18" i="3" s="1"/>
  <c r="K17" i="3"/>
  <c r="L17" i="3" s="1"/>
  <c r="N17" i="3" s="1"/>
  <c r="O17" i="3" s="1"/>
  <c r="P17" i="3" s="1"/>
  <c r="E17" i="3"/>
  <c r="F17" i="3" s="1"/>
  <c r="K16" i="3"/>
  <c r="L16" i="3" s="1"/>
  <c r="N16" i="3" s="1"/>
  <c r="O16" i="3" s="1"/>
  <c r="P16" i="3" s="1"/>
  <c r="E16" i="3"/>
  <c r="F16" i="3" s="1"/>
  <c r="K15" i="3"/>
  <c r="L15" i="3" s="1"/>
  <c r="N15" i="3" s="1"/>
  <c r="O15" i="3" s="1"/>
  <c r="P15" i="3" s="1"/>
  <c r="E15" i="3"/>
  <c r="F15" i="3" s="1"/>
  <c r="K14" i="3"/>
  <c r="L14" i="3" s="1"/>
  <c r="N14" i="3" s="1"/>
  <c r="O14" i="3" s="1"/>
  <c r="P14" i="3" s="1"/>
  <c r="E14" i="3"/>
  <c r="F14" i="3" s="1"/>
  <c r="K13" i="3"/>
  <c r="L13" i="3" s="1"/>
  <c r="N13" i="3" s="1"/>
  <c r="O13" i="3" s="1"/>
  <c r="P13" i="3" s="1"/>
  <c r="E13" i="3"/>
  <c r="F13" i="3" s="1"/>
  <c r="K12" i="3"/>
  <c r="L12" i="3" s="1"/>
  <c r="N12" i="3" s="1"/>
  <c r="O12" i="3" s="1"/>
  <c r="P12" i="3" s="1"/>
  <c r="E12" i="3"/>
  <c r="F12" i="3" s="1"/>
  <c r="K11" i="3"/>
  <c r="L11" i="3" s="1"/>
  <c r="N11" i="3" s="1"/>
  <c r="O11" i="3" s="1"/>
  <c r="P11" i="3" s="1"/>
  <c r="E11" i="3"/>
  <c r="F11" i="3" s="1"/>
  <c r="K10" i="3"/>
  <c r="L10" i="3" s="1"/>
  <c r="N10" i="3" s="1"/>
  <c r="O10" i="3" s="1"/>
  <c r="P10" i="3" s="1"/>
  <c r="E10" i="3"/>
  <c r="F10" i="3" s="1"/>
  <c r="K9" i="3"/>
  <c r="L9" i="3" s="1"/>
  <c r="N9" i="3" s="1"/>
  <c r="O9" i="3" s="1"/>
  <c r="P9" i="3" s="1"/>
  <c r="E9" i="3"/>
  <c r="F9" i="3" s="1"/>
  <c r="K8" i="3"/>
  <c r="L8" i="3" s="1"/>
  <c r="N8" i="3" s="1"/>
  <c r="O8" i="3" s="1"/>
  <c r="P8" i="3" s="1"/>
  <c r="E8" i="3"/>
  <c r="F8" i="3" s="1"/>
  <c r="K7" i="3"/>
  <c r="L7" i="3" s="1"/>
  <c r="N7" i="3" s="1"/>
  <c r="O7" i="3" s="1"/>
  <c r="P7" i="3" s="1"/>
  <c r="E7" i="3"/>
  <c r="F7" i="3" s="1"/>
  <c r="K6" i="3"/>
  <c r="L6" i="3" s="1"/>
  <c r="N6" i="3" s="1"/>
  <c r="O6" i="3" s="1"/>
  <c r="P6" i="3" s="1"/>
  <c r="E6" i="3"/>
  <c r="F6" i="3" s="1"/>
  <c r="K5" i="3"/>
  <c r="L5" i="3" s="1"/>
  <c r="N5" i="3" s="1"/>
  <c r="O5" i="3" s="1"/>
  <c r="P5" i="3" s="1"/>
  <c r="E5" i="3"/>
  <c r="F5" i="3" s="1"/>
  <c r="A211" i="3" l="1"/>
  <c r="A219" i="3"/>
  <c r="A224" i="3"/>
  <c r="A240" i="3"/>
  <c r="A225" i="3"/>
  <c r="A241" i="3"/>
  <c r="A257" i="3"/>
  <c r="A217" i="3"/>
  <c r="A256" i="3"/>
  <c r="A201" i="3"/>
  <c r="A229" i="3"/>
  <c r="A245" i="3"/>
  <c r="A19" i="3"/>
  <c r="A233" i="3"/>
  <c r="A249" i="3"/>
  <c r="A228" i="3"/>
  <c r="A231" i="3"/>
  <c r="A244" i="3"/>
  <c r="A232" i="3"/>
  <c r="A248" i="3"/>
  <c r="A209" i="3"/>
  <c r="A223" i="3"/>
  <c r="A226" i="3"/>
  <c r="A236" i="3"/>
  <c r="A252" i="3"/>
  <c r="A234" i="3"/>
  <c r="A239" i="3"/>
  <c r="A242" i="3"/>
  <c r="A247" i="3"/>
  <c r="A250" i="3"/>
  <c r="A255" i="3"/>
  <c r="A266" i="3"/>
  <c r="A282" i="3"/>
  <c r="A65" i="3"/>
  <c r="A85" i="3"/>
  <c r="A163" i="3"/>
  <c r="A171" i="3"/>
  <c r="A179" i="3"/>
  <c r="A260" i="3"/>
  <c r="A268" i="3"/>
  <c r="A276" i="3"/>
  <c r="A284" i="3"/>
  <c r="A235" i="3"/>
  <c r="A238" i="3"/>
  <c r="A243" i="3"/>
  <c r="A246" i="3"/>
  <c r="A251" i="3"/>
  <c r="A254" i="3"/>
  <c r="A258" i="3"/>
  <c r="A274" i="3"/>
  <c r="A35" i="3"/>
  <c r="A77" i="3"/>
  <c r="A99" i="3"/>
  <c r="A142" i="3"/>
  <c r="A159" i="3"/>
  <c r="A167" i="3"/>
  <c r="A175" i="3"/>
  <c r="A183" i="3"/>
  <c r="A213" i="3"/>
  <c r="A221" i="3"/>
  <c r="A259" i="3"/>
  <c r="A7" i="3"/>
  <c r="A39" i="3"/>
  <c r="A155" i="3"/>
  <c r="A23" i="3"/>
  <c r="A59" i="3"/>
  <c r="A67" i="3"/>
  <c r="A90" i="3"/>
  <c r="A117" i="3"/>
  <c r="A89" i="3"/>
  <c r="A109" i="3"/>
  <c r="A151" i="3"/>
  <c r="A79" i="3"/>
  <c r="A57" i="3"/>
  <c r="A111" i="3"/>
  <c r="A10" i="3"/>
  <c r="A18" i="3"/>
  <c r="A26" i="3"/>
  <c r="A34" i="3"/>
  <c r="A119" i="3"/>
  <c r="A73" i="3"/>
  <c r="A92" i="3"/>
  <c r="A138" i="3"/>
  <c r="A74" i="3"/>
  <c r="A81" i="3"/>
  <c r="A93" i="3"/>
  <c r="A6" i="3"/>
  <c r="A14" i="3"/>
  <c r="A22" i="3"/>
  <c r="A30" i="3"/>
  <c r="A38" i="3"/>
  <c r="A76" i="3"/>
  <c r="A98" i="3"/>
  <c r="A141" i="3"/>
  <c r="A101" i="3"/>
  <c r="A107" i="3"/>
  <c r="A123" i="3"/>
  <c r="A131" i="3"/>
  <c r="A58" i="3"/>
  <c r="A66" i="3"/>
  <c r="A69" i="3"/>
  <c r="A75" i="3"/>
  <c r="A97" i="3"/>
  <c r="A100" i="3"/>
  <c r="A105" i="3"/>
  <c r="A106" i="3"/>
  <c r="A116" i="3"/>
  <c r="A120" i="3"/>
  <c r="A121" i="3"/>
  <c r="A128" i="3"/>
  <c r="A129" i="3"/>
  <c r="A144" i="3"/>
  <c r="A147" i="3"/>
  <c r="A148" i="3"/>
  <c r="A199" i="3"/>
  <c r="A42" i="3"/>
  <c r="A46" i="3"/>
  <c r="A60" i="3"/>
  <c r="A61" i="3"/>
  <c r="A82" i="3"/>
  <c r="A83" i="3"/>
  <c r="A84" i="3"/>
  <c r="A91" i="3"/>
  <c r="A108" i="3"/>
  <c r="A113" i="3"/>
  <c r="A124" i="3"/>
  <c r="A154" i="3"/>
  <c r="A158" i="3"/>
  <c r="A162" i="3"/>
  <c r="A166" i="3"/>
  <c r="A170" i="3"/>
  <c r="A174" i="3"/>
  <c r="A178" i="3"/>
  <c r="A182" i="3"/>
  <c r="A186" i="3"/>
  <c r="A190" i="3"/>
  <c r="A194" i="3"/>
  <c r="A195" i="3"/>
  <c r="A136" i="3"/>
  <c r="A55" i="3"/>
  <c r="A87" i="3"/>
  <c r="A125" i="3"/>
  <c r="A71" i="3"/>
  <c r="A103" i="3"/>
  <c r="A133" i="3"/>
  <c r="A63" i="3"/>
  <c r="A95" i="3"/>
  <c r="A11" i="3"/>
  <c r="A27" i="3"/>
  <c r="A43" i="3"/>
  <c r="A15" i="3"/>
  <c r="A31" i="3"/>
  <c r="A47" i="3"/>
  <c r="A25" i="3"/>
  <c r="A29" i="3"/>
  <c r="A33" i="3"/>
  <c r="A41" i="3"/>
  <c r="A50" i="3"/>
  <c r="A49" i="3"/>
  <c r="A53" i="3"/>
  <c r="A54" i="3"/>
  <c r="A62" i="3"/>
  <c r="A70" i="3"/>
  <c r="A78" i="3"/>
  <c r="A86" i="3"/>
  <c r="A94" i="3"/>
  <c r="A102" i="3"/>
  <c r="A110" i="3"/>
  <c r="A9" i="3"/>
  <c r="A13" i="3"/>
  <c r="A17" i="3"/>
  <c r="A37" i="3"/>
  <c r="A45" i="3"/>
  <c r="A48" i="3"/>
  <c r="A52" i="3"/>
  <c r="A56" i="3"/>
  <c r="A64" i="3"/>
  <c r="A72" i="3"/>
  <c r="A80" i="3"/>
  <c r="A88" i="3"/>
  <c r="A96" i="3"/>
  <c r="A104" i="3"/>
  <c r="A112" i="3"/>
  <c r="A127" i="3"/>
  <c r="A5" i="3"/>
  <c r="A21" i="3"/>
  <c r="A8" i="3"/>
  <c r="A12" i="3"/>
  <c r="A16" i="3"/>
  <c r="A20" i="3"/>
  <c r="A24" i="3"/>
  <c r="A28" i="3"/>
  <c r="A32" i="3"/>
  <c r="A36" i="3"/>
  <c r="A40" i="3"/>
  <c r="A44" i="3"/>
  <c r="A51" i="3"/>
  <c r="A115" i="3"/>
  <c r="A114" i="3"/>
  <c r="A118" i="3"/>
  <c r="A122" i="3"/>
  <c r="A126" i="3"/>
  <c r="A130" i="3"/>
  <c r="A132" i="3"/>
  <c r="A134" i="3"/>
  <c r="A137" i="3"/>
  <c r="A140" i="3"/>
  <c r="A146" i="3"/>
  <c r="A150" i="3"/>
  <c r="A152" i="3"/>
  <c r="A156" i="3"/>
  <c r="A160" i="3"/>
  <c r="A164" i="3"/>
  <c r="A168" i="3"/>
  <c r="A172" i="3"/>
  <c r="A176" i="3"/>
  <c r="A180" i="3"/>
  <c r="A184" i="3"/>
  <c r="A188" i="3"/>
  <c r="A192" i="3"/>
  <c r="A207" i="3"/>
  <c r="A135" i="3"/>
  <c r="A143" i="3"/>
  <c r="A187" i="3"/>
  <c r="A191" i="3"/>
  <c r="A203" i="3"/>
  <c r="A139" i="3"/>
  <c r="A145" i="3"/>
  <c r="A149" i="3"/>
  <c r="A153" i="3"/>
  <c r="A157" i="3"/>
  <c r="A161" i="3"/>
  <c r="A165" i="3"/>
  <c r="A169" i="3"/>
  <c r="A173" i="3"/>
  <c r="A177" i="3"/>
  <c r="A181" i="3"/>
  <c r="A185" i="3"/>
  <c r="A189" i="3"/>
  <c r="A193" i="3"/>
  <c r="A196" i="3"/>
  <c r="A200" i="3"/>
  <c r="A204" i="3"/>
  <c r="A208" i="3"/>
  <c r="A212" i="3"/>
  <c r="A216" i="3"/>
  <c r="A220" i="3"/>
  <c r="A198" i="3"/>
  <c r="A202" i="3"/>
  <c r="A206" i="3"/>
  <c r="A210" i="3"/>
  <c r="A214" i="3"/>
  <c r="A218" i="3"/>
  <c r="A262" i="3"/>
  <c r="A270" i="3"/>
  <c r="A278" i="3"/>
  <c r="A264" i="3"/>
  <c r="A272" i="3"/>
  <c r="A280" i="3"/>
  <c r="A261" i="3"/>
  <c r="A265" i="3"/>
  <c r="A269" i="3"/>
  <c r="A273" i="3"/>
  <c r="A277" i="3"/>
  <c r="A281" i="3"/>
  <c r="A285" i="3"/>
  <c r="A287" i="3"/>
  <c r="A289" i="3"/>
  <c r="A291" i="3"/>
  <c r="A293" i="3"/>
  <c r="A295" i="3"/>
  <c r="A297" i="3"/>
  <c r="A299" i="3"/>
  <c r="A263" i="3"/>
  <c r="A267" i="3"/>
  <c r="A271" i="3"/>
  <c r="A275" i="3"/>
  <c r="A279" i="3"/>
  <c r="A283" i="3"/>
  <c r="A286" i="3"/>
  <c r="A288" i="3"/>
  <c r="A290" i="3"/>
  <c r="A292" i="3"/>
  <c r="A294" i="3"/>
  <c r="A296" i="3"/>
  <c r="A298" i="3"/>
  <c r="A300" i="3"/>
</calcChain>
</file>

<file path=xl/sharedStrings.xml><?xml version="1.0" encoding="utf-8"?>
<sst xmlns="http://schemas.openxmlformats.org/spreadsheetml/2006/main" count="9830" uniqueCount="315">
  <si>
    <t>CARTÃO PONTO</t>
  </si>
  <si>
    <t>Empresa</t>
  </si>
  <si>
    <t>GRACENOTE BRASIL METAINFORMAÇÃO</t>
  </si>
  <si>
    <t>CNPJ</t>
  </si>
  <si>
    <t>22.228.620/0001-15</t>
  </si>
  <si>
    <t>Inscrição</t>
  </si>
  <si>
    <t>ISENTO</t>
  </si>
  <si>
    <t>Nome</t>
  </si>
  <si>
    <t>Adriano Silva Vicentini</t>
  </si>
  <si>
    <t>Nº Identificador</t>
  </si>
  <si>
    <t>5</t>
  </si>
  <si>
    <t>Nº Folha</t>
  </si>
  <si>
    <t>CTPS</t>
  </si>
  <si>
    <t>Admissão</t>
  </si>
  <si>
    <t>Função</t>
  </si>
  <si>
    <t>Editor Sênior</t>
  </si>
  <si>
    <t>Departamento</t>
  </si>
  <si>
    <t>Operacional</t>
  </si>
  <si>
    <t>Horário de Trabalho</t>
  </si>
  <si>
    <t>Ent1</t>
  </si>
  <si>
    <t>Sai1</t>
  </si>
  <si>
    <t>Ent2</t>
  </si>
  <si>
    <t>Sai2</t>
  </si>
  <si>
    <t>Ent3</t>
  </si>
  <si>
    <t>Sai3</t>
  </si>
  <si>
    <t>Folga</t>
  </si>
  <si>
    <t>Data</t>
  </si>
  <si>
    <t>Ent. 1</t>
  </si>
  <si>
    <t>Saí. 1</t>
  </si>
  <si>
    <t>Ent. 2</t>
  </si>
  <si>
    <t>Saí. 2</t>
  </si>
  <si>
    <t>Ent. 3</t>
  </si>
  <si>
    <t>Saí. 3</t>
  </si>
  <si>
    <t>Carga</t>
  </si>
  <si>
    <t>Normais</t>
  </si>
  <si>
    <t>Ajuste</t>
  </si>
  <si>
    <t>JustPa.</t>
  </si>
  <si>
    <t>DSR</t>
  </si>
  <si>
    <t>DSR.Deb</t>
  </si>
  <si>
    <t>Not.Tot.</t>
  </si>
  <si>
    <t>Faltas</t>
  </si>
  <si>
    <t>Extras</t>
  </si>
  <si>
    <t>12:00*</t>
  </si>
  <si>
    <t>13:00*</t>
  </si>
  <si>
    <t>18:00*</t>
  </si>
  <si>
    <t>(*) - Batida lançada manualmente        (¨) - Abono Parcial        (^) - Pré Assinalado</t>
  </si>
  <si>
    <t>___________________________________________                       ___________________________________________</t>
  </si>
  <si>
    <t>GRACENOTE BRASIL METAINFORMAÇÃO LTDA</t>
  </si>
  <si>
    <t>Alexandre de Paiva Favero</t>
  </si>
  <si>
    <t>51</t>
  </si>
  <si>
    <t>Editor Imagem</t>
  </si>
  <si>
    <t>Atestad</t>
  </si>
  <si>
    <t>Abono</t>
  </si>
  <si>
    <t>Ana Cláudia da Silva Costa</t>
  </si>
  <si>
    <t>50</t>
  </si>
  <si>
    <t>Ferias</t>
  </si>
  <si>
    <t>Ana Paula Rosas Batista</t>
  </si>
  <si>
    <t>73</t>
  </si>
  <si>
    <t>Editor</t>
  </si>
  <si>
    <t>22:00*</t>
  </si>
  <si>
    <t>André Nespoli</t>
  </si>
  <si>
    <t>33</t>
  </si>
  <si>
    <t>Andressa Brum Moreno</t>
  </si>
  <si>
    <t>72</t>
  </si>
  <si>
    <t>Arthur Silva Vicentini</t>
  </si>
  <si>
    <t>7</t>
  </si>
  <si>
    <t>Beatriz Couto dos Santos</t>
  </si>
  <si>
    <t>19</t>
  </si>
  <si>
    <t>Camila Chaves Sodré Coutinho</t>
  </si>
  <si>
    <t>15</t>
  </si>
  <si>
    <t>Camila Masae Alves Nakamura</t>
  </si>
  <si>
    <t>70</t>
  </si>
  <si>
    <t>Carolina Freitas Lopes Giacomelli</t>
  </si>
  <si>
    <t>24</t>
  </si>
  <si>
    <t>Clariana Zanutto de Jezus Campos</t>
  </si>
  <si>
    <t>71</t>
  </si>
  <si>
    <t>Daniel Andreazzi Momesso</t>
  </si>
  <si>
    <t>34</t>
  </si>
  <si>
    <t>Daniel Gobeti</t>
  </si>
  <si>
    <t>9</t>
  </si>
  <si>
    <t>Débora de Souza</t>
  </si>
  <si>
    <t>35</t>
  </si>
  <si>
    <t>Fabio Shiniti Mori</t>
  </si>
  <si>
    <t>43</t>
  </si>
  <si>
    <t>Felippe Camargo</t>
  </si>
  <si>
    <t>77</t>
  </si>
  <si>
    <t>Editor de Música</t>
  </si>
  <si>
    <t>19:00*</t>
  </si>
  <si>
    <t>Filipe Pereira de Almeida</t>
  </si>
  <si>
    <t>42</t>
  </si>
  <si>
    <t>Flávio Pereira Carneiro</t>
  </si>
  <si>
    <t>44</t>
  </si>
  <si>
    <t>Francisco Henrique Spagnolo Filho</t>
  </si>
  <si>
    <t>39</t>
  </si>
  <si>
    <t>Gabriella Alquezar Isaias</t>
  </si>
  <si>
    <t>14</t>
  </si>
  <si>
    <t>Gustavo Cesar Rodrigues Raganiccki</t>
  </si>
  <si>
    <t>40</t>
  </si>
  <si>
    <t>Jayme Sampaio Neto</t>
  </si>
  <si>
    <t>69</t>
  </si>
  <si>
    <t>Karla Machado Belmonte</t>
  </si>
  <si>
    <t>1</t>
  </si>
  <si>
    <t>Katia de Freitas</t>
  </si>
  <si>
    <t>76</t>
  </si>
  <si>
    <t>Leonardo Ávila Teixeira</t>
  </si>
  <si>
    <t>36</t>
  </si>
  <si>
    <t>Luana Lucio Correia Lacerda</t>
  </si>
  <si>
    <t>3</t>
  </si>
  <si>
    <t>Lucas Berredo Reis Matos</t>
  </si>
  <si>
    <t>17</t>
  </si>
  <si>
    <t>Magno Júnior Silva Mesquita</t>
  </si>
  <si>
    <t>37</t>
  </si>
  <si>
    <t>Marcio Correia de Lima</t>
  </si>
  <si>
    <t>6</t>
  </si>
  <si>
    <t>Maria Fernanda Saggiorato M. Pulici</t>
  </si>
  <si>
    <t>12</t>
  </si>
  <si>
    <t>Mateus Octavio Ferrari Barbero</t>
  </si>
  <si>
    <t>80</t>
  </si>
  <si>
    <t>Patrícia Zeni Gil</t>
  </si>
  <si>
    <t>41</t>
  </si>
  <si>
    <t>Pricisla Sayuri Ura</t>
  </si>
  <si>
    <t>13</t>
  </si>
  <si>
    <t>Rafael Machtura Rodrigues</t>
  </si>
  <si>
    <t>4</t>
  </si>
  <si>
    <t>Renata Akimi Kamei</t>
  </si>
  <si>
    <t>66</t>
  </si>
  <si>
    <t>Analista de Banco de Dados Sênior</t>
  </si>
  <si>
    <t>Renata Baim Cavalcanti</t>
  </si>
  <si>
    <t>81</t>
  </si>
  <si>
    <t>Thiago Vidal</t>
  </si>
  <si>
    <t>83</t>
  </si>
  <si>
    <t>Tiago Lucio de Brito</t>
  </si>
  <si>
    <t>26</t>
  </si>
  <si>
    <t>Tuany Troleze</t>
  </si>
  <si>
    <t>38</t>
  </si>
  <si>
    <t>Vanessa Orlovics</t>
  </si>
  <si>
    <t>64</t>
  </si>
  <si>
    <t>Victor Alcaide Teixeira</t>
  </si>
  <si>
    <t>49</t>
  </si>
  <si>
    <t>Wander Otoni Ferreira</t>
  </si>
  <si>
    <t>16</t>
  </si>
  <si>
    <t>HE 70%</t>
  </si>
  <si>
    <t>ADIC NOT</t>
  </si>
  <si>
    <t>HORAS AFAST</t>
  </si>
  <si>
    <t>FALTA INTEGRAL</t>
  </si>
  <si>
    <t>ADRIANO SILVA VICENTINI</t>
  </si>
  <si>
    <t>ALEXANDRE DE PAIVA FAVERO</t>
  </si>
  <si>
    <t>ANA CLÁUDIA DA SILVA COSTA</t>
  </si>
  <si>
    <t>ANA PAULA ROSAS BATISTA</t>
  </si>
  <si>
    <t>ANDRÉ NESPOLI</t>
  </si>
  <si>
    <t>ANDRESSA BRUM MORENO</t>
  </si>
  <si>
    <t>ARTHUR SILVA VICENTINI</t>
  </si>
  <si>
    <t>BEATRIZ COUTO DOS SANTOS</t>
  </si>
  <si>
    <t>CAMILA CHAVES SODRÉ COUTINHO</t>
  </si>
  <si>
    <t>CAMILA MASAE ALVES NAKAMURA</t>
  </si>
  <si>
    <t>CAROLINA FREITAS LOPES GIACOMELLI</t>
  </si>
  <si>
    <t>CLARIANA ZANUTTO DE JEZUS CAMPOS</t>
  </si>
  <si>
    <t>DANIEL ANDREAZZI MOMESSO</t>
  </si>
  <si>
    <t>DANIEL GOBETI</t>
  </si>
  <si>
    <t>DÉBORA DE SOUZA</t>
  </si>
  <si>
    <t>FABIO SHINITI MORI</t>
  </si>
  <si>
    <t>FILIPE PEREIRA DE ALMEIDA</t>
  </si>
  <si>
    <t>FLÁVIO PEREIRA CARNEIRO</t>
  </si>
  <si>
    <t>FRANCISCO HENRIQUE SPAGNOLO FILHO</t>
  </si>
  <si>
    <t>GABRIELLA ALQUEZAR ISAIAS</t>
  </si>
  <si>
    <t>GUSTAVO CESAR RODRIGUES RAGANICCKI</t>
  </si>
  <si>
    <t>JAYME SAMPAIO NETO</t>
  </si>
  <si>
    <t>KARLA MACHADO BELMONTE</t>
  </si>
  <si>
    <t>KATIA DE FREITAS</t>
  </si>
  <si>
    <t>LEONARDO ÁVILA TEIXEIRA</t>
  </si>
  <si>
    <t>LUANA LUCIO CORREIA LACERDA</t>
  </si>
  <si>
    <t>LUCAS BERREDO REIS MATOS</t>
  </si>
  <si>
    <t>MAGNO JÚNIOR SILVA MESQUITA</t>
  </si>
  <si>
    <t>MARCIO CORREIA DE LIMA</t>
  </si>
  <si>
    <t>MARIA FERNANDA SAGGIORATO</t>
  </si>
  <si>
    <t>MATEUS OCTAVIO FERRARI</t>
  </si>
  <si>
    <t>PATRÍCIA ZENI GIL</t>
  </si>
  <si>
    <t>PRISCILA SAYURI URA</t>
  </si>
  <si>
    <t>RAFAEL MACHTURA RODRIGUES</t>
  </si>
  <si>
    <t>RENATA AKIMI KAMEI</t>
  </si>
  <si>
    <t>TIAGO LUCIO DE BRITO</t>
  </si>
  <si>
    <t>TUANY TROLEZE</t>
  </si>
  <si>
    <t>VANESSA ORLOVICS</t>
  </si>
  <si>
    <t>VICTOR ALCAIDE TEIXEIRA</t>
  </si>
  <si>
    <t>WANDER OTONI FERREIRA</t>
  </si>
  <si>
    <t>THIAGO LUIS SPINA VIDAL</t>
  </si>
  <si>
    <t>RENATA BAIM CAVALCANTI</t>
  </si>
  <si>
    <t>Importação aqui</t>
  </si>
  <si>
    <t>FIXO 10</t>
  </si>
  <si>
    <t>empregado</t>
  </si>
  <si>
    <t>competencia do calculo</t>
  </si>
  <si>
    <t>rubrica 4 digitos 0203</t>
  </si>
  <si>
    <t>codigo do processo</t>
  </si>
  <si>
    <t>VALOR CALCULADO</t>
  </si>
  <si>
    <t>codigo empresa 10 digitos</t>
  </si>
  <si>
    <t>Importar para TXT aquivo abaixo</t>
  </si>
  <si>
    <t>Cópiar o código empregado planilha base e colar abaixo</t>
  </si>
  <si>
    <t>Cópiar o codigo da verba</t>
  </si>
  <si>
    <t>Cópiar o valor da verba</t>
  </si>
  <si>
    <t>Lançamentos de horas: horas decimais</t>
  </si>
  <si>
    <t>0000000</t>
  </si>
  <si>
    <t>0203</t>
  </si>
  <si>
    <t>11</t>
  </si>
  <si>
    <t>0000</t>
  </si>
  <si>
    <t>0000000028</t>
  </si>
  <si>
    <t>0204</t>
  </si>
  <si>
    <t>0988</t>
  </si>
  <si>
    <t>matr</t>
  </si>
  <si>
    <t>nome</t>
  </si>
  <si>
    <t>Feriados</t>
  </si>
  <si>
    <t>-</t>
  </si>
  <si>
    <t>Start Date:</t>
  </si>
  <si>
    <t>End Date:</t>
  </si>
  <si>
    <t>N°</t>
  </si>
  <si>
    <t>Hrs. Faltas</t>
  </si>
  <si>
    <t>Extras 100%</t>
  </si>
  <si>
    <t>Dia</t>
  </si>
  <si>
    <t>Colaborador</t>
  </si>
  <si>
    <t>Matrícula</t>
  </si>
  <si>
    <t>De: 21/08/2017 até 20/09/2017</t>
  </si>
  <si>
    <t>MON</t>
  </si>
  <si>
    <t>TUE</t>
  </si>
  <si>
    <t>WED</t>
  </si>
  <si>
    <t>THU</t>
  </si>
  <si>
    <t>FRI</t>
  </si>
  <si>
    <t>SAT</t>
  </si>
  <si>
    <t>SUN</t>
  </si>
  <si>
    <t>21/08/17 - seg</t>
  </si>
  <si>
    <t>22/08/17 - ter</t>
  </si>
  <si>
    <t>23/08/17 - qua</t>
  </si>
  <si>
    <t>24/08/17 - qui</t>
  </si>
  <si>
    <t>25/08/17 - sex</t>
  </si>
  <si>
    <t>26/08/17 - sáb</t>
  </si>
  <si>
    <t>27/08/17 - dom</t>
  </si>
  <si>
    <t>28/08/17 - seg</t>
  </si>
  <si>
    <t>29/08/17 - ter</t>
  </si>
  <si>
    <t>30/08/17 - qua</t>
  </si>
  <si>
    <t>31/08/17 - qui</t>
  </si>
  <si>
    <t>01/09/17 - sex</t>
  </si>
  <si>
    <t>02/09/17 - sáb</t>
  </si>
  <si>
    <t>03/09/17 - dom</t>
  </si>
  <si>
    <t>04/09/17 - seg</t>
  </si>
  <si>
    <t>05/09/17 - ter</t>
  </si>
  <si>
    <t>06/09/17 - qua</t>
  </si>
  <si>
    <t>07/09/17 - feri</t>
  </si>
  <si>
    <t>08/09/17 - sex</t>
  </si>
  <si>
    <t>09/09/17 - sáb</t>
  </si>
  <si>
    <t>10/09/17 - dom</t>
  </si>
  <si>
    <t>11/09/17 - seg</t>
  </si>
  <si>
    <t>12/09/17 - ter</t>
  </si>
  <si>
    <t>19:31*</t>
  </si>
  <si>
    <t>13/09/17 - qua</t>
  </si>
  <si>
    <t>09:00*</t>
  </si>
  <si>
    <t>12:41*</t>
  </si>
  <si>
    <t>13:25*</t>
  </si>
  <si>
    <t>20:10*</t>
  </si>
  <si>
    <t>14/09/17 - qui</t>
  </si>
  <si>
    <t>07:59*</t>
  </si>
  <si>
    <t>19:33*</t>
  </si>
  <si>
    <t>15/09/17 - sex</t>
  </si>
  <si>
    <t>16/09/17 - sáb</t>
  </si>
  <si>
    <t>17/09/17 - dom</t>
  </si>
  <si>
    <t>18/09/17 - seg</t>
  </si>
  <si>
    <t>19/09/17 - ter</t>
  </si>
  <si>
    <t>20/09/17 - qua</t>
  </si>
  <si>
    <t>Feriado</t>
  </si>
  <si>
    <t>ANA CAROLINA SALUM</t>
  </si>
  <si>
    <t>93</t>
  </si>
  <si>
    <t>Coletor de Imagens</t>
  </si>
  <si>
    <t>15:59*</t>
  </si>
  <si>
    <t>20:00*</t>
  </si>
  <si>
    <t>14:24*</t>
  </si>
  <si>
    <t>10:00*</t>
  </si>
  <si>
    <t>17:00*</t>
  </si>
  <si>
    <t>08:45*</t>
  </si>
  <si>
    <t>14:00*</t>
  </si>
  <si>
    <t>17:45*</t>
  </si>
  <si>
    <t>19:37*</t>
  </si>
  <si>
    <t>18:05*</t>
  </si>
  <si>
    <t>JEAN PETERSON CAMPOS DE ARAUJO</t>
  </si>
  <si>
    <t>85</t>
  </si>
  <si>
    <t>Ingest</t>
  </si>
  <si>
    <t>JOSE RENATO CORDONI JR</t>
  </si>
  <si>
    <t>86</t>
  </si>
  <si>
    <t>Lic Mat</t>
  </si>
  <si>
    <t>LAURYE CRISTINA NUNES</t>
  </si>
  <si>
    <t>95</t>
  </si>
  <si>
    <t>13:05*</t>
  </si>
  <si>
    <t>19:07*</t>
  </si>
  <si>
    <t>MANUELA BRAGA PEREIRA DE QUEIROZ</t>
  </si>
  <si>
    <t>87</t>
  </si>
  <si>
    <t>MARCELO JOAO PEREIRA</t>
  </si>
  <si>
    <t>96</t>
  </si>
  <si>
    <t>Representante de atendimento ao cliente</t>
  </si>
  <si>
    <t>NATHALIA BIANCO LOURO</t>
  </si>
  <si>
    <t>89</t>
  </si>
  <si>
    <t>Ex0%</t>
  </si>
  <si>
    <t>14:30*</t>
  </si>
  <si>
    <t>09:10*</t>
  </si>
  <si>
    <t>13:34*</t>
  </si>
  <si>
    <t>13:07*</t>
  </si>
  <si>
    <t>12:24*</t>
  </si>
  <si>
    <t>Externo</t>
  </si>
  <si>
    <t>13:48*</t>
  </si>
  <si>
    <t>TATIANA MARTINS GOMES FUNICO</t>
  </si>
  <si>
    <t>92</t>
  </si>
  <si>
    <t>14:04*</t>
  </si>
  <si>
    <t>-00:23</t>
  </si>
  <si>
    <t>-00:41</t>
  </si>
  <si>
    <t>-00:13</t>
  </si>
  <si>
    <t>-00:24</t>
  </si>
  <si>
    <t>-00:51</t>
  </si>
  <si>
    <t>-00:46</t>
  </si>
  <si>
    <t>23:00*</t>
  </si>
  <si>
    <t>14:19*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</si>
</sst>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h:mm;@"/>
    <numFmt numFmtId="165" formatCode="0.00000000000000"/>
    <numFmt numFmtId="166" formatCode="[h]:mm"/>
  </numFmts>
  <fonts count="1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0"/>
      <name val="Arial"/>
      <family val="2"/>
    </font>
    <font>
      <b/>
      <sz val="11"/>
      <color rgb="FF000000"/>
      <name val="Calibri"/>
      <family val="2"/>
    </font>
    <font>
      <b/>
      <sz val="11"/>
      <color theme="1"/>
      <name val="Calibri"/>
      <family val="2"/>
    </font>
    <font>
      <sz val="11"/>
      <color rgb="FFFF0000"/>
      <name val="Calibri"/>
      <family val="2"/>
      <charset val="1"/>
    </font>
    <font>
      <b/>
      <sz val="13"/>
      <color rgb="FF000000"/>
      <name val="Calibri"/>
      <family val="2"/>
    </font>
    <font>
      <b/>
      <sz val="11"/>
      <color rgb="FFFF0000"/>
      <name val="Calibri"/>
      <family val="2"/>
    </font>
    <font>
      <sz val="11"/>
      <color theme="1"/>
      <name val="Calibri"/>
      <family val="2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</borders>
  <cellStyleXfs count="2">
    <xf numFmtId="0" fontId="0" fillId="0" borderId="0"/>
    <xf numFmtId="0" fontId="4" fillId="0" borderId="0"/>
  </cellStyleXfs>
  <cellXfs count="58">
    <xf numFmtId="0" fontId="0" fillId="0" borderId="0" xfId="0"/>
    <xf numFmtId="0" fontId="1" fillId="0" borderId="0" xfId="0" applyFont="1"/>
    <xf numFmtId="14" fontId="0" fillId="0" borderId="0" xfId="0" applyNumberFormat="1"/>
    <xf numFmtId="20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1" fillId="0" borderId="0" xfId="0" applyFont="1" applyAlignment="1">
      <alignment horizontal="left"/>
    </xf>
    <xf numFmtId="46" fontId="0" fillId="0" borderId="0" xfId="0" applyNumberFormat="1" applyAlignment="1">
      <alignment horizontal="left"/>
    </xf>
    <xf numFmtId="0" fontId="0" fillId="0" borderId="0" xfId="0" applyFont="1"/>
    <xf numFmtId="21" fontId="2" fillId="0" borderId="1" xfId="0" applyNumberFormat="1" applyFont="1" applyBorder="1" applyAlignment="1">
      <alignment horizontal="center"/>
    </xf>
    <xf numFmtId="21" fontId="2" fillId="0" borderId="2" xfId="0" applyNumberFormat="1" applyFont="1" applyFill="1" applyBorder="1" applyAlignment="1">
      <alignment horizontal="center"/>
    </xf>
    <xf numFmtId="21" fontId="2" fillId="0" borderId="1" xfId="0" applyNumberFormat="1" applyFont="1" applyFill="1" applyBorder="1" applyAlignment="1">
      <alignment horizontal="center"/>
    </xf>
    <xf numFmtId="0" fontId="0" fillId="0" borderId="1" xfId="0" applyBorder="1"/>
    <xf numFmtId="0" fontId="0" fillId="0" borderId="1" xfId="0" applyBorder="1" applyAlignment="1">
      <alignment horizontal="center"/>
    </xf>
    <xf numFmtId="2" fontId="5" fillId="0" borderId="0" xfId="1" applyNumberFormat="1" applyFont="1" applyAlignment="1">
      <alignment horizontal="center"/>
    </xf>
    <xf numFmtId="1" fontId="5" fillId="0" borderId="0" xfId="1" applyNumberFormat="1" applyFont="1" applyAlignment="1">
      <alignment horizontal="center"/>
    </xf>
    <xf numFmtId="1" fontId="4" fillId="0" borderId="0" xfId="1" applyNumberFormat="1" applyFill="1"/>
    <xf numFmtId="0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2" fontId="6" fillId="0" borderId="0" xfId="1" applyNumberFormat="1" applyFont="1" applyAlignment="1">
      <alignment horizontal="center"/>
    </xf>
    <xf numFmtId="49" fontId="5" fillId="0" borderId="0" xfId="1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2" fontId="7" fillId="0" borderId="0" xfId="1" applyNumberFormat="1" applyFont="1"/>
    <xf numFmtId="165" fontId="7" fillId="0" borderId="0" xfId="1" applyNumberFormat="1" applyFont="1"/>
    <xf numFmtId="2" fontId="6" fillId="0" borderId="0" xfId="1" applyNumberFormat="1" applyFont="1"/>
    <xf numFmtId="2" fontId="5" fillId="0" borderId="0" xfId="1" applyNumberFormat="1" applyFont="1"/>
    <xf numFmtId="2" fontId="8" fillId="0" borderId="0" xfId="1" applyNumberFormat="1" applyFont="1" applyAlignment="1">
      <alignment horizontal="center" vertical="center"/>
    </xf>
    <xf numFmtId="0" fontId="9" fillId="0" borderId="0" xfId="1" applyNumberFormat="1" applyFont="1" applyFill="1" applyAlignment="1">
      <alignment horizontal="center" wrapText="1"/>
    </xf>
    <xf numFmtId="0" fontId="1" fillId="0" borderId="0" xfId="0" applyFont="1" applyAlignment="1">
      <alignment horizontal="center"/>
    </xf>
    <xf numFmtId="49" fontId="9" fillId="0" borderId="0" xfId="1" applyNumberFormat="1" applyFont="1" applyFill="1" applyAlignment="1">
      <alignment horizontal="center" vertical="center" wrapText="1"/>
    </xf>
    <xf numFmtId="164" fontId="9" fillId="0" borderId="0" xfId="1" applyNumberFormat="1" applyFont="1" applyFill="1" applyAlignment="1">
      <alignment horizontal="center" vertical="center" wrapText="1"/>
    </xf>
    <xf numFmtId="0" fontId="3" fillId="0" borderId="0" xfId="0" applyFont="1"/>
    <xf numFmtId="0" fontId="7" fillId="0" borderId="0" xfId="1" applyNumberFormat="1" applyFont="1" applyFill="1" applyAlignment="1">
      <alignment horizontal="center" wrapText="1"/>
    </xf>
    <xf numFmtId="49" fontId="0" fillId="0" borderId="0" xfId="0" applyNumberFormat="1" applyAlignment="1">
      <alignment horizontal="center"/>
    </xf>
    <xf numFmtId="164" fontId="7" fillId="0" borderId="0" xfId="1" applyNumberFormat="1" applyFont="1" applyFill="1" applyAlignment="1">
      <alignment horizontal="center" vertical="center" wrapText="1"/>
    </xf>
    <xf numFmtId="165" fontId="0" fillId="0" borderId="0" xfId="0" applyNumberFormat="1"/>
    <xf numFmtId="49" fontId="7" fillId="0" borderId="0" xfId="1" applyNumberFormat="1" applyFont="1" applyFill="1" applyAlignment="1">
      <alignment horizontal="center" wrapText="1"/>
    </xf>
    <xf numFmtId="2" fontId="4" fillId="0" borderId="0" xfId="1" applyNumberFormat="1"/>
    <xf numFmtId="1" fontId="4" fillId="0" borderId="0" xfId="1" applyNumberFormat="1" applyAlignment="1">
      <alignment horizontal="center"/>
    </xf>
    <xf numFmtId="1" fontId="4" fillId="0" borderId="1" xfId="1" applyNumberFormat="1" applyBorder="1" applyAlignment="1">
      <alignment horizontal="center"/>
    </xf>
    <xf numFmtId="49" fontId="0" fillId="0" borderId="1" xfId="0" applyNumberFormat="1" applyBorder="1" applyAlignment="1">
      <alignment horizontal="center"/>
    </xf>
    <xf numFmtId="49" fontId="4" fillId="0" borderId="1" xfId="1" applyNumberFormat="1" applyFont="1" applyBorder="1" applyAlignment="1">
      <alignment horizontal="center"/>
    </xf>
    <xf numFmtId="2" fontId="10" fillId="0" borderId="0" xfId="1" applyNumberFormat="1" applyFont="1" applyAlignment="1">
      <alignment horizontal="center"/>
    </xf>
    <xf numFmtId="1" fontId="10" fillId="0" borderId="0" xfId="1" applyNumberFormat="1" applyFont="1" applyAlignment="1">
      <alignment horizontal="center"/>
    </xf>
    <xf numFmtId="165" fontId="10" fillId="0" borderId="0" xfId="1" applyNumberFormat="1" applyFont="1" applyAlignment="1">
      <alignment horizontal="center"/>
    </xf>
    <xf numFmtId="49" fontId="4" fillId="0" borderId="0" xfId="1" applyNumberFormat="1"/>
    <xf numFmtId="164" fontId="0" fillId="0" borderId="1" xfId="0" applyNumberFormat="1" applyBorder="1" applyAlignment="1">
      <alignment horizontal="center"/>
    </xf>
    <xf numFmtId="0" fontId="0" fillId="0" borderId="1" xfId="0" applyNumberFormat="1" applyBorder="1" applyAlignment="1">
      <alignment horizontal="center"/>
    </xf>
    <xf numFmtId="49" fontId="4" fillId="0" borderId="0" xfId="1" applyNumberFormat="1" applyFont="1" applyAlignment="1">
      <alignment horizontal="center"/>
    </xf>
    <xf numFmtId="166" fontId="0" fillId="0" borderId="1" xfId="0" applyNumberFormat="1" applyBorder="1" applyAlignment="1">
      <alignment horizontal="center"/>
    </xf>
    <xf numFmtId="166" fontId="0" fillId="0" borderId="0" xfId="0" applyNumberFormat="1" applyBorder="1" applyAlignment="1">
      <alignment horizontal="center"/>
    </xf>
    <xf numFmtId="0" fontId="0" fillId="0" borderId="3" xfId="0" applyBorder="1"/>
    <xf numFmtId="0" fontId="0" fillId="0" borderId="4" xfId="0" applyBorder="1"/>
    <xf numFmtId="0" fontId="0" fillId="0" borderId="5" xfId="0" applyBorder="1"/>
    <xf numFmtId="14" fontId="0" fillId="0" borderId="3" xfId="0" applyNumberFormat="1" applyBorder="1"/>
    <xf numFmtId="49" fontId="1" fillId="0" borderId="0" xfId="0" applyNumberFormat="1" applyFont="1"/>
    <xf numFmtId="0" fontId="0" fillId="0" borderId="0" xfId="0" applyNumberFormat="1"/>
    <xf numFmtId="46" fontId="0" fillId="0" borderId="0" xfId="0" applyNumberFormat="1"/>
    <xf numFmtId="0" fontId="0" fillId="0" borderId="0" xfId="0" quotePrefix="1"/>
  </cellXfs>
  <cellStyles count="2">
    <cellStyle name="Normal" xfId="0" builtinId="0"/>
    <cellStyle name="Normal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228600</xdr:colOff>
          <xdr:row>4</xdr:row>
          <xdr:rowOff>0</xdr:rowOff>
        </xdr:from>
        <xdr:to>
          <xdr:col>4</xdr:col>
          <xdr:colOff>38100</xdr:colOff>
          <xdr:row>5</xdr:row>
          <xdr:rowOff>171450</xdr:rowOff>
        </xdr:to>
        <xdr:sp macro="" textlink="">
          <xdr:nvSpPr>
            <xdr:cNvPr id="2049" name="Botão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Rodar Folha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228600</xdr:colOff>
          <xdr:row>6</xdr:row>
          <xdr:rowOff>85725</xdr:rowOff>
        </xdr:from>
        <xdr:to>
          <xdr:col>4</xdr:col>
          <xdr:colOff>38100</xdr:colOff>
          <xdr:row>8</xdr:row>
          <xdr:rowOff>66675</xdr:rowOff>
        </xdr:to>
        <xdr:sp macro="" textlink="">
          <xdr:nvSpPr>
            <xdr:cNvPr id="2050" name="Botão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B2:D12"/>
  <sheetViews>
    <sheetView showGridLines="0" tabSelected="1" workbookViewId="0">
      <selection activeCell="C10" sqref="C10"/>
    </sheetView>
  </sheetViews>
  <sheetFormatPr defaultRowHeight="15" x14ac:dyDescent="0.25"/>
  <cols>
    <col min="2" max="4" width="10.7109375" bestFit="1" customWidth="1"/>
  </cols>
  <sheetData>
    <row r="2" spans="2:4" x14ac:dyDescent="0.25">
      <c r="B2" t="s">
        <v>211</v>
      </c>
      <c r="C2" t="s">
        <v>212</v>
      </c>
    </row>
    <row r="3" spans="2:4" x14ac:dyDescent="0.25">
      <c r="B3" s="2">
        <v>42967</v>
      </c>
      <c r="C3" s="2">
        <v>42999</v>
      </c>
    </row>
    <row r="4" spans="2:4" ht="15.75" thickBot="1" x14ac:dyDescent="0.3"/>
    <row r="5" spans="2:4" x14ac:dyDescent="0.25">
      <c r="B5" s="52" t="s">
        <v>209</v>
      </c>
    </row>
    <row r="6" spans="2:4" x14ac:dyDescent="0.25">
      <c r="B6" s="53">
        <v>42985</v>
      </c>
      <c r="D6" s="2"/>
    </row>
    <row r="7" spans="2:4" x14ac:dyDescent="0.25">
      <c r="B7" s="50" t="s">
        <v>210</v>
      </c>
    </row>
    <row r="8" spans="2:4" x14ac:dyDescent="0.25">
      <c r="B8" s="50" t="s">
        <v>210</v>
      </c>
      <c r="D8" s="2"/>
    </row>
    <row r="9" spans="2:4" x14ac:dyDescent="0.25">
      <c r="B9" s="50" t="s">
        <v>210</v>
      </c>
    </row>
    <row r="10" spans="2:4" x14ac:dyDescent="0.25">
      <c r="B10" s="50" t="s">
        <v>210</v>
      </c>
    </row>
    <row r="11" spans="2:4" x14ac:dyDescent="0.25">
      <c r="B11" s="50" t="s">
        <v>210</v>
      </c>
    </row>
    <row r="12" spans="2:4" ht="15.75" thickBot="1" x14ac:dyDescent="0.3">
      <c r="B12" s="51" t="s">
        <v>210</v>
      </c>
    </row>
  </sheetData>
  <pageMargins left="0.511811024" right="0.511811024" top="0.78740157499999996" bottom="0.78740157499999996" header="0.31496062000000002" footer="0.31496062000000002"/>
  <pageSetup paperSize="9" orientation="portrait" horizontalDpi="4294967295" verticalDpi="4294967295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MacroFolha.MacroFolha">
                <anchor moveWithCells="1" sizeWithCells="1">
                  <from>
                    <xdr:col>2</xdr:col>
                    <xdr:colOff>228600</xdr:colOff>
                    <xdr:row>4</xdr:row>
                    <xdr:rowOff>0</xdr:rowOff>
                  </from>
                  <to>
                    <xdr:col>4</xdr:col>
                    <xdr:colOff>38100</xdr:colOff>
                    <xdr:row>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LimparDados">
                <anchor moveWithCells="1" sizeWithCells="1">
                  <from>
                    <xdr:col>2</xdr:col>
                    <xdr:colOff>228600</xdr:colOff>
                    <xdr:row>6</xdr:row>
                    <xdr:rowOff>85725</xdr:rowOff>
                  </from>
                  <to>
                    <xdr:col>4</xdr:col>
                    <xdr:colOff>38100</xdr:colOff>
                    <xdr:row>8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>
    <pageSetUpPr fitToPage="1"/>
  </sheetPr>
  <dimension ref="A1:P2802"/>
  <sheetViews>
    <sheetView zoomScale="85" zoomScaleNormal="85" workbookViewId="0">
      <selection activeCell="E1" sqref="A1:E1048576"/>
    </sheetView>
  </sheetViews>
  <sheetFormatPr defaultRowHeight="15" x14ac:dyDescent="0.25"/>
  <cols>
    <col min="1" max="1" width="14.7109375" customWidth="1"/>
    <col min="5" max="5" width="10.7109375" bestFit="1" customWidth="1"/>
  </cols>
  <sheetData>
    <row r="1" spans="1:16" x14ac:dyDescent="0.25">
      <c r="A1" s="1" t="s">
        <v>0</v>
      </c>
    </row>
    <row r="2" spans="1:16" x14ac:dyDescent="0.25">
      <c r="A2" s="1" t="s">
        <v>219</v>
      </c>
    </row>
    <row r="3" spans="1:16" x14ac:dyDescent="0.25">
      <c r="G3" s="1" t="s">
        <v>18</v>
      </c>
    </row>
    <row r="4" spans="1:16" x14ac:dyDescent="0.25">
      <c r="A4" s="1" t="s">
        <v>1</v>
      </c>
      <c r="B4" t="s">
        <v>2</v>
      </c>
      <c r="H4" s="1" t="s">
        <v>19</v>
      </c>
      <c r="I4" s="1" t="s">
        <v>20</v>
      </c>
      <c r="J4" s="1" t="s">
        <v>21</v>
      </c>
      <c r="K4" s="1" t="s">
        <v>22</v>
      </c>
      <c r="L4" s="1" t="s">
        <v>23</v>
      </c>
      <c r="M4" s="1" t="s">
        <v>24</v>
      </c>
    </row>
    <row r="5" spans="1:16" x14ac:dyDescent="0.25">
      <c r="A5" s="1" t="s">
        <v>3</v>
      </c>
      <c r="B5" t="s">
        <v>4</v>
      </c>
      <c r="G5" s="1" t="s">
        <v>220</v>
      </c>
      <c r="H5" s="3">
        <v>0.375</v>
      </c>
      <c r="I5" s="3">
        <v>0.5</v>
      </c>
      <c r="J5" s="3">
        <v>0.54166666666666663</v>
      </c>
      <c r="K5" s="3">
        <v>0.75</v>
      </c>
      <c r="L5" s="4"/>
      <c r="M5" s="4"/>
    </row>
    <row r="6" spans="1:16" x14ac:dyDescent="0.25">
      <c r="A6" s="1" t="s">
        <v>5</v>
      </c>
      <c r="B6" t="s">
        <v>6</v>
      </c>
      <c r="G6" s="1" t="s">
        <v>221</v>
      </c>
      <c r="H6" s="3">
        <v>0.375</v>
      </c>
      <c r="I6" s="3">
        <v>0.5</v>
      </c>
      <c r="J6" s="3">
        <v>0.54166666666666663</v>
      </c>
      <c r="K6" s="3">
        <v>0.79166666666666663</v>
      </c>
      <c r="L6" s="4"/>
      <c r="M6" s="4"/>
    </row>
    <row r="7" spans="1:16" x14ac:dyDescent="0.25">
      <c r="G7" s="1" t="s">
        <v>222</v>
      </c>
      <c r="H7" s="3">
        <v>0.375</v>
      </c>
      <c r="I7" s="3">
        <v>0.5</v>
      </c>
      <c r="J7" s="3">
        <v>0.54166666666666663</v>
      </c>
      <c r="K7" s="3">
        <v>0.79166666666666663</v>
      </c>
      <c r="L7" s="4"/>
      <c r="M7" s="4"/>
    </row>
    <row r="8" spans="1:16" x14ac:dyDescent="0.25">
      <c r="A8" s="1" t="s">
        <v>7</v>
      </c>
      <c r="B8" t="s">
        <v>8</v>
      </c>
      <c r="G8" s="1" t="s">
        <v>223</v>
      </c>
      <c r="H8" s="3">
        <v>0.375</v>
      </c>
      <c r="I8" s="3">
        <v>0.5</v>
      </c>
      <c r="J8" s="3">
        <v>0.54166666666666663</v>
      </c>
      <c r="K8" s="3">
        <v>0.79166666666666663</v>
      </c>
      <c r="L8" s="4"/>
      <c r="M8" s="4"/>
    </row>
    <row r="9" spans="1:16" x14ac:dyDescent="0.25">
      <c r="A9" s="1" t="s">
        <v>9</v>
      </c>
      <c r="B9" t="s">
        <v>10</v>
      </c>
      <c r="D9" s="1" t="s">
        <v>11</v>
      </c>
      <c r="E9" t="s">
        <v>10</v>
      </c>
      <c r="G9" s="1" t="s">
        <v>224</v>
      </c>
      <c r="H9" s="3">
        <v>0.375</v>
      </c>
      <c r="I9" s="3">
        <v>0.5</v>
      </c>
      <c r="J9" s="3">
        <v>0.54166666666666663</v>
      </c>
      <c r="K9" s="3">
        <v>0.79166666666666663</v>
      </c>
      <c r="L9" s="4"/>
      <c r="M9" s="4"/>
    </row>
    <row r="10" spans="1:16" x14ac:dyDescent="0.25">
      <c r="A10" s="1" t="s">
        <v>12</v>
      </c>
      <c r="D10" s="1" t="s">
        <v>13</v>
      </c>
      <c r="E10" s="2">
        <v>42278</v>
      </c>
      <c r="G10" s="1" t="s">
        <v>225</v>
      </c>
      <c r="H10" s="4" t="s">
        <v>25</v>
      </c>
      <c r="I10" s="4" t="s">
        <v>25</v>
      </c>
      <c r="J10" s="4" t="s">
        <v>25</v>
      </c>
      <c r="K10" s="4" t="s">
        <v>25</v>
      </c>
      <c r="L10" s="4" t="s">
        <v>25</v>
      </c>
      <c r="M10" s="4" t="s">
        <v>25</v>
      </c>
    </row>
    <row r="11" spans="1:16" x14ac:dyDescent="0.25">
      <c r="A11" s="1" t="s">
        <v>14</v>
      </c>
      <c r="B11" t="s">
        <v>15</v>
      </c>
      <c r="G11" s="1" t="s">
        <v>226</v>
      </c>
      <c r="H11" s="4" t="s">
        <v>25</v>
      </c>
      <c r="I11" s="4" t="s">
        <v>25</v>
      </c>
      <c r="J11" s="4" t="s">
        <v>25</v>
      </c>
      <c r="K11" s="4" t="s">
        <v>25</v>
      </c>
      <c r="L11" s="4" t="s">
        <v>25</v>
      </c>
      <c r="M11" s="4" t="s">
        <v>25</v>
      </c>
    </row>
    <row r="12" spans="1:16" x14ac:dyDescent="0.25">
      <c r="A12" s="1" t="s">
        <v>16</v>
      </c>
      <c r="B12" t="s">
        <v>17</v>
      </c>
    </row>
    <row r="15" spans="1:16" x14ac:dyDescent="0.25">
      <c r="A15" s="5" t="s">
        <v>26</v>
      </c>
      <c r="B15" s="5" t="s">
        <v>27</v>
      </c>
      <c r="C15" s="5" t="s">
        <v>28</v>
      </c>
      <c r="D15" s="5" t="s">
        <v>29</v>
      </c>
      <c r="E15" s="5" t="s">
        <v>30</v>
      </c>
      <c r="F15" s="5" t="s">
        <v>31</v>
      </c>
      <c r="G15" s="5" t="s">
        <v>32</v>
      </c>
      <c r="H15" s="5" t="s">
        <v>33</v>
      </c>
      <c r="I15" s="5" t="s">
        <v>34</v>
      </c>
      <c r="J15" s="5" t="s">
        <v>35</v>
      </c>
      <c r="K15" s="5" t="s">
        <v>36</v>
      </c>
      <c r="L15" s="5" t="s">
        <v>37</v>
      </c>
      <c r="M15" s="5" t="s">
        <v>38</v>
      </c>
      <c r="N15" s="5" t="s">
        <v>39</v>
      </c>
      <c r="O15" s="5" t="s">
        <v>40</v>
      </c>
      <c r="P15" s="5" t="s">
        <v>41</v>
      </c>
    </row>
    <row r="16" spans="1:16" x14ac:dyDescent="0.25">
      <c r="A16" s="4"/>
      <c r="B16" s="4"/>
      <c r="C16" s="4"/>
      <c r="D16" s="4"/>
      <c r="E16" s="4"/>
      <c r="F16" s="4"/>
      <c r="G16" s="4"/>
      <c r="H16" s="6">
        <v>8.0416666666666661</v>
      </c>
      <c r="I16" s="6">
        <v>8.0243055555555554</v>
      </c>
      <c r="J16" s="3">
        <v>8.6805555555555566E-2</v>
      </c>
      <c r="K16" s="3">
        <v>0</v>
      </c>
      <c r="L16" s="3">
        <v>0.20833333333333334</v>
      </c>
      <c r="M16" s="3">
        <v>0</v>
      </c>
      <c r="N16" s="3">
        <v>7.2916666666666671E-2</v>
      </c>
      <c r="O16" s="3">
        <v>1.7361111111111112E-2</v>
      </c>
      <c r="P16" s="6">
        <v>1.7347222222222223</v>
      </c>
    </row>
    <row r="17" spans="1:16" x14ac:dyDescent="0.25">
      <c r="A17" s="4" t="s">
        <v>227</v>
      </c>
      <c r="B17" s="3">
        <v>0.34722222222222227</v>
      </c>
      <c r="C17" s="3">
        <v>0.53680555555555554</v>
      </c>
      <c r="D17" s="3">
        <v>0.5756944444444444</v>
      </c>
      <c r="E17" s="3">
        <v>0.73819444444444438</v>
      </c>
      <c r="F17" s="4"/>
      <c r="G17" s="4"/>
      <c r="H17" s="3">
        <v>0.33333333333333331</v>
      </c>
      <c r="I17" s="3">
        <v>0.33333333333333331</v>
      </c>
      <c r="J17" s="4"/>
      <c r="K17" s="4"/>
      <c r="L17" s="4"/>
      <c r="M17" s="4"/>
      <c r="N17" s="4"/>
      <c r="O17" s="4"/>
      <c r="P17" s="3">
        <v>1.8749999999999999E-2</v>
      </c>
    </row>
    <row r="18" spans="1:16" x14ac:dyDescent="0.25">
      <c r="A18" s="4" t="s">
        <v>228</v>
      </c>
      <c r="B18" s="3">
        <v>0.38819444444444445</v>
      </c>
      <c r="C18" s="3">
        <v>0.53333333333333333</v>
      </c>
      <c r="D18" s="3">
        <v>0.55138888888888882</v>
      </c>
      <c r="E18" s="3">
        <v>0.80486111111111114</v>
      </c>
      <c r="F18" s="4"/>
      <c r="G18" s="4"/>
      <c r="H18" s="3">
        <v>0.375</v>
      </c>
      <c r="I18" s="3">
        <v>0.375</v>
      </c>
      <c r="J18" s="4"/>
      <c r="K18" s="4"/>
      <c r="L18" s="4"/>
      <c r="M18" s="4"/>
      <c r="N18" s="4"/>
      <c r="O18" s="4"/>
      <c r="P18" s="3">
        <v>2.361111111111111E-2</v>
      </c>
    </row>
    <row r="19" spans="1:16" x14ac:dyDescent="0.25">
      <c r="A19" s="4" t="s">
        <v>229</v>
      </c>
      <c r="B19" s="3">
        <v>0.3756944444444445</v>
      </c>
      <c r="C19" s="3">
        <v>0.54861111111111105</v>
      </c>
      <c r="D19" s="3">
        <v>0.57430555555555551</v>
      </c>
      <c r="E19" s="3">
        <v>0.8041666666666667</v>
      </c>
      <c r="F19" s="4"/>
      <c r="G19" s="4"/>
      <c r="H19" s="3">
        <v>0.375</v>
      </c>
      <c r="I19" s="3">
        <v>0.375</v>
      </c>
      <c r="J19" s="4"/>
      <c r="K19" s="4"/>
      <c r="L19" s="4"/>
      <c r="M19" s="4"/>
      <c r="N19" s="4"/>
      <c r="O19" s="4"/>
      <c r="P19" s="3">
        <v>2.8472222222222222E-2</v>
      </c>
    </row>
    <row r="20" spans="1:16" x14ac:dyDescent="0.25">
      <c r="A20" s="4" t="s">
        <v>230</v>
      </c>
      <c r="B20" s="3">
        <v>0.42430555555555555</v>
      </c>
      <c r="C20" s="3">
        <v>0.54305555555555551</v>
      </c>
      <c r="D20" s="3">
        <v>0.58124999999999993</v>
      </c>
      <c r="E20" s="3">
        <v>0.84236111111111101</v>
      </c>
      <c r="F20" s="4"/>
      <c r="G20" s="4"/>
      <c r="H20" s="3">
        <v>0.375</v>
      </c>
      <c r="I20" s="3">
        <v>0.375</v>
      </c>
      <c r="J20" s="4"/>
      <c r="K20" s="4"/>
      <c r="L20" s="4"/>
      <c r="M20" s="4"/>
      <c r="N20" s="4"/>
      <c r="O20" s="4"/>
      <c r="P20" s="4"/>
    </row>
    <row r="21" spans="1:16" x14ac:dyDescent="0.25">
      <c r="A21" s="4" t="s">
        <v>231</v>
      </c>
      <c r="B21" s="3">
        <v>0.33888888888888885</v>
      </c>
      <c r="C21" s="3">
        <v>0.65277777777777779</v>
      </c>
      <c r="D21" s="3">
        <v>0.66805555555555562</v>
      </c>
      <c r="E21" s="3">
        <v>0.78541666666666676</v>
      </c>
      <c r="F21" s="4"/>
      <c r="G21" s="4"/>
      <c r="H21" s="3">
        <v>0.375</v>
      </c>
      <c r="I21" s="3">
        <v>0.375</v>
      </c>
      <c r="J21" s="4"/>
      <c r="K21" s="4"/>
      <c r="L21" s="4"/>
      <c r="M21" s="4"/>
      <c r="N21" s="4"/>
      <c r="O21" s="4"/>
      <c r="P21" s="3">
        <v>5.6250000000000001E-2</v>
      </c>
    </row>
    <row r="22" spans="1:16" x14ac:dyDescent="0.25">
      <c r="A22" s="4" t="s">
        <v>232</v>
      </c>
      <c r="B22" s="4" t="s">
        <v>25</v>
      </c>
      <c r="C22" s="4" t="s">
        <v>25</v>
      </c>
      <c r="D22" s="4" t="s">
        <v>25</v>
      </c>
      <c r="E22" s="4" t="s">
        <v>25</v>
      </c>
      <c r="F22" s="4" t="s">
        <v>25</v>
      </c>
      <c r="G22" s="4" t="s">
        <v>25</v>
      </c>
      <c r="H22" s="4"/>
      <c r="I22" s="4"/>
      <c r="J22" s="4"/>
      <c r="K22" s="4"/>
      <c r="L22" s="4"/>
      <c r="M22" s="4"/>
      <c r="N22" s="4"/>
      <c r="O22" s="4"/>
      <c r="P22" s="4"/>
    </row>
    <row r="23" spans="1:16" x14ac:dyDescent="0.25">
      <c r="A23" s="4" t="s">
        <v>233</v>
      </c>
      <c r="B23" s="4" t="s">
        <v>25</v>
      </c>
      <c r="C23" s="4" t="s">
        <v>25</v>
      </c>
      <c r="D23" s="4" t="s">
        <v>25</v>
      </c>
      <c r="E23" s="4" t="s">
        <v>25</v>
      </c>
      <c r="F23" s="4" t="s">
        <v>25</v>
      </c>
      <c r="G23" s="4" t="s">
        <v>25</v>
      </c>
      <c r="H23" s="4"/>
      <c r="I23" s="4"/>
      <c r="J23" s="4"/>
      <c r="K23" s="4"/>
      <c r="L23" s="4"/>
      <c r="M23" s="4"/>
      <c r="N23" s="4"/>
      <c r="O23" s="4"/>
      <c r="P23" s="4"/>
    </row>
    <row r="24" spans="1:16" x14ac:dyDescent="0.25">
      <c r="A24" s="4" t="s">
        <v>234</v>
      </c>
      <c r="B24" s="3">
        <v>0.3430555555555555</v>
      </c>
      <c r="C24" s="3">
        <v>0.52847222222222223</v>
      </c>
      <c r="D24" s="3">
        <v>0.57638888888888895</v>
      </c>
      <c r="E24" s="3">
        <v>0.76388888888888884</v>
      </c>
      <c r="F24" s="4"/>
      <c r="G24" s="4"/>
      <c r="H24" s="3">
        <v>0.33333333333333331</v>
      </c>
      <c r="I24" s="3">
        <v>0.33333333333333331</v>
      </c>
      <c r="J24" s="4"/>
      <c r="K24" s="4"/>
      <c r="L24" s="4"/>
      <c r="M24" s="4"/>
      <c r="N24" s="4"/>
      <c r="O24" s="4"/>
      <c r="P24" s="3">
        <v>3.9583333333333331E-2</v>
      </c>
    </row>
    <row r="25" spans="1:16" x14ac:dyDescent="0.25">
      <c r="A25" s="4" t="s">
        <v>235</v>
      </c>
      <c r="B25" s="3">
        <v>0.39652777777777781</v>
      </c>
      <c r="C25" s="3">
        <v>0.57916666666666672</v>
      </c>
      <c r="D25" s="3">
        <v>0.61388888888888882</v>
      </c>
      <c r="E25" s="3">
        <v>0.90277777777777779</v>
      </c>
      <c r="F25" s="4"/>
      <c r="G25" s="4"/>
      <c r="H25" s="3">
        <v>0.375</v>
      </c>
      <c r="I25" s="3">
        <v>0.375</v>
      </c>
      <c r="J25" s="4"/>
      <c r="K25" s="4"/>
      <c r="L25" s="4"/>
      <c r="M25" s="4"/>
      <c r="N25" s="4"/>
      <c r="O25" s="4"/>
      <c r="P25" s="3">
        <v>9.6527777777777768E-2</v>
      </c>
    </row>
    <row r="26" spans="1:16" x14ac:dyDescent="0.25">
      <c r="A26" s="4" t="s">
        <v>236</v>
      </c>
      <c r="B26" s="3">
        <v>0.37152777777777773</v>
      </c>
      <c r="C26" s="3">
        <v>0.5625</v>
      </c>
      <c r="D26" s="3">
        <v>0.58472222222222225</v>
      </c>
      <c r="E26" s="3">
        <v>0.88541666666666663</v>
      </c>
      <c r="F26" s="4"/>
      <c r="G26" s="4"/>
      <c r="H26" s="3">
        <v>0.375</v>
      </c>
      <c r="I26" s="3">
        <v>0.375</v>
      </c>
      <c r="J26" s="4"/>
      <c r="K26" s="4"/>
      <c r="L26" s="4"/>
      <c r="M26" s="4"/>
      <c r="N26" s="4"/>
      <c r="O26" s="4"/>
      <c r="P26" s="3">
        <v>0.11319444444444444</v>
      </c>
    </row>
    <row r="27" spans="1:16" x14ac:dyDescent="0.25">
      <c r="A27" s="4" t="s">
        <v>237</v>
      </c>
      <c r="B27" s="3">
        <v>0.4152777777777778</v>
      </c>
      <c r="C27" s="3">
        <v>0.54097222222222219</v>
      </c>
      <c r="D27" s="3">
        <v>0.57986111111111105</v>
      </c>
      <c r="E27" s="3">
        <v>0.86736111111111114</v>
      </c>
      <c r="F27" s="4"/>
      <c r="G27" s="4"/>
      <c r="H27" s="3">
        <v>0.375</v>
      </c>
      <c r="I27" s="3">
        <v>0.375</v>
      </c>
      <c r="J27" s="4"/>
      <c r="K27" s="4"/>
      <c r="L27" s="4"/>
      <c r="M27" s="4"/>
      <c r="N27" s="4"/>
      <c r="O27" s="4"/>
      <c r="P27" s="3">
        <v>3.8194444444444441E-2</v>
      </c>
    </row>
    <row r="28" spans="1:16" x14ac:dyDescent="0.25">
      <c r="A28" s="4" t="s">
        <v>238</v>
      </c>
      <c r="B28" s="3">
        <v>0.38472222222222219</v>
      </c>
      <c r="C28" s="3">
        <v>0.55763888888888891</v>
      </c>
      <c r="D28" s="3">
        <v>0.6069444444444444</v>
      </c>
      <c r="E28" s="3">
        <v>0.96597222222222223</v>
      </c>
      <c r="F28" s="4"/>
      <c r="G28" s="4"/>
      <c r="H28" s="3">
        <v>0.375</v>
      </c>
      <c r="I28" s="3">
        <v>0.375</v>
      </c>
      <c r="J28" s="4"/>
      <c r="K28" s="4"/>
      <c r="L28" s="4"/>
      <c r="M28" s="4"/>
      <c r="N28" s="3">
        <v>4.9305555555555554E-2</v>
      </c>
      <c r="O28" s="4"/>
      <c r="P28" s="3">
        <v>0.15694444444444444</v>
      </c>
    </row>
    <row r="29" spans="1:16" x14ac:dyDescent="0.25">
      <c r="A29" s="4" t="s">
        <v>239</v>
      </c>
      <c r="B29" s="4" t="s">
        <v>25</v>
      </c>
      <c r="C29" s="4" t="s">
        <v>25</v>
      </c>
      <c r="D29" s="4" t="s">
        <v>25</v>
      </c>
      <c r="E29" s="4" t="s">
        <v>25</v>
      </c>
      <c r="F29" s="4" t="s">
        <v>25</v>
      </c>
      <c r="G29" s="4" t="s">
        <v>25</v>
      </c>
      <c r="H29" s="4"/>
      <c r="I29" s="4"/>
      <c r="J29" s="4"/>
      <c r="K29" s="4"/>
      <c r="L29" s="4"/>
      <c r="M29" s="4"/>
      <c r="N29" s="4"/>
      <c r="O29" s="4"/>
      <c r="P29" s="4"/>
    </row>
    <row r="30" spans="1:16" x14ac:dyDescent="0.25">
      <c r="A30" s="4" t="s">
        <v>240</v>
      </c>
      <c r="B30" s="4" t="s">
        <v>25</v>
      </c>
      <c r="C30" s="4" t="s">
        <v>25</v>
      </c>
      <c r="D30" s="4" t="s">
        <v>25</v>
      </c>
      <c r="E30" s="4" t="s">
        <v>25</v>
      </c>
      <c r="F30" s="4" t="s">
        <v>25</v>
      </c>
      <c r="G30" s="4" t="s">
        <v>25</v>
      </c>
      <c r="H30" s="4"/>
      <c r="I30" s="4"/>
      <c r="J30" s="4"/>
      <c r="K30" s="4"/>
      <c r="L30" s="4"/>
      <c r="M30" s="4"/>
      <c r="N30" s="4"/>
      <c r="O30" s="4"/>
      <c r="P30" s="4"/>
    </row>
    <row r="31" spans="1:16" x14ac:dyDescent="0.25">
      <c r="A31" s="4" t="s">
        <v>241</v>
      </c>
      <c r="B31" s="3">
        <v>0.35069444444444442</v>
      </c>
      <c r="C31" s="3">
        <v>0.63402777777777775</v>
      </c>
      <c r="D31" s="3">
        <v>0.67291666666666661</v>
      </c>
      <c r="E31" s="3">
        <v>0.7909722222222223</v>
      </c>
      <c r="F31" s="4"/>
      <c r="G31" s="4"/>
      <c r="H31" s="3">
        <v>0.33333333333333331</v>
      </c>
      <c r="I31" s="3">
        <v>0.33333333333333331</v>
      </c>
      <c r="J31" s="4"/>
      <c r="K31" s="4"/>
      <c r="L31" s="4"/>
      <c r="M31" s="4"/>
      <c r="N31" s="4"/>
      <c r="O31" s="4"/>
      <c r="P31" s="3">
        <v>6.805555555555555E-2</v>
      </c>
    </row>
    <row r="32" spans="1:16" x14ac:dyDescent="0.25">
      <c r="A32" s="4" t="s">
        <v>242</v>
      </c>
      <c r="B32" s="3">
        <v>0.38750000000000001</v>
      </c>
      <c r="C32" s="3">
        <v>0.67569444444444438</v>
      </c>
      <c r="D32" s="4" t="s">
        <v>52</v>
      </c>
      <c r="E32" s="4" t="s">
        <v>52</v>
      </c>
      <c r="F32" s="4"/>
      <c r="G32" s="4"/>
      <c r="H32" s="3">
        <v>0.375</v>
      </c>
      <c r="I32" s="3">
        <v>0.375</v>
      </c>
      <c r="J32" s="3">
        <v>8.6805555555555566E-2</v>
      </c>
      <c r="K32" s="4"/>
      <c r="L32" s="4"/>
      <c r="M32" s="4"/>
      <c r="N32" s="4"/>
      <c r="O32" s="4"/>
      <c r="P32" s="4"/>
    </row>
    <row r="33" spans="1:16" x14ac:dyDescent="0.25">
      <c r="A33" s="4" t="s">
        <v>243</v>
      </c>
      <c r="B33" s="3">
        <v>0.39374999999999999</v>
      </c>
      <c r="C33" s="3">
        <v>0.65972222222222221</v>
      </c>
      <c r="D33" s="3">
        <v>0.68263888888888891</v>
      </c>
      <c r="E33" s="3">
        <v>0.84166666666666667</v>
      </c>
      <c r="F33" s="4"/>
      <c r="G33" s="4"/>
      <c r="H33" s="3">
        <v>0.375</v>
      </c>
      <c r="I33" s="3">
        <v>0.375</v>
      </c>
      <c r="J33" s="4"/>
      <c r="K33" s="4"/>
      <c r="L33" s="4"/>
      <c r="M33" s="4"/>
      <c r="N33" s="4"/>
      <c r="O33" s="4"/>
      <c r="P33" s="3">
        <v>4.9999999999999996E-2</v>
      </c>
    </row>
    <row r="34" spans="1:16" x14ac:dyDescent="0.25">
      <c r="A34" s="4" t="s">
        <v>244</v>
      </c>
      <c r="B34" s="3">
        <v>0.36319444444444443</v>
      </c>
      <c r="C34" s="3">
        <v>0.58958333333333335</v>
      </c>
      <c r="D34" s="3">
        <v>0.62847222222222221</v>
      </c>
      <c r="E34" s="3">
        <v>0.7909722222222223</v>
      </c>
      <c r="F34" s="4"/>
      <c r="G34" s="4"/>
      <c r="H34" s="4"/>
      <c r="I34" s="4"/>
      <c r="J34" s="4"/>
      <c r="K34" s="4"/>
      <c r="L34" s="4"/>
      <c r="M34" s="4"/>
      <c r="N34" s="4"/>
      <c r="O34" s="4"/>
      <c r="P34" s="3">
        <v>0.3888888888888889</v>
      </c>
    </row>
    <row r="35" spans="1:16" x14ac:dyDescent="0.25">
      <c r="A35" s="4" t="s">
        <v>245</v>
      </c>
      <c r="B35" s="3">
        <v>0.34097222222222223</v>
      </c>
      <c r="C35" s="3">
        <v>0.59861111111111109</v>
      </c>
      <c r="D35" s="3">
        <v>0.63750000000000007</v>
      </c>
      <c r="E35" s="3">
        <v>0.94027777777777777</v>
      </c>
      <c r="F35" s="4"/>
      <c r="G35" s="4"/>
      <c r="H35" s="3">
        <v>0.375</v>
      </c>
      <c r="I35" s="3">
        <v>0.375</v>
      </c>
      <c r="J35" s="4"/>
      <c r="K35" s="4"/>
      <c r="L35" s="4"/>
      <c r="M35" s="4"/>
      <c r="N35" s="3">
        <v>2.361111111111111E-2</v>
      </c>
      <c r="O35" s="4"/>
      <c r="P35" s="3">
        <v>0.18541666666666667</v>
      </c>
    </row>
    <row r="36" spans="1:16" x14ac:dyDescent="0.25">
      <c r="A36" s="4" t="s">
        <v>246</v>
      </c>
      <c r="B36" s="4" t="s">
        <v>25</v>
      </c>
      <c r="C36" s="4" t="s">
        <v>25</v>
      </c>
      <c r="D36" s="4" t="s">
        <v>25</v>
      </c>
      <c r="E36" s="4" t="s">
        <v>25</v>
      </c>
      <c r="F36" s="4" t="s">
        <v>25</v>
      </c>
      <c r="G36" s="4" t="s">
        <v>25</v>
      </c>
      <c r="H36" s="4"/>
      <c r="I36" s="4"/>
      <c r="J36" s="4"/>
      <c r="K36" s="4"/>
      <c r="L36" s="4"/>
      <c r="M36" s="4"/>
      <c r="N36" s="4"/>
      <c r="O36" s="4"/>
      <c r="P36" s="4"/>
    </row>
    <row r="37" spans="1:16" x14ac:dyDescent="0.25">
      <c r="A37" s="4" t="s">
        <v>247</v>
      </c>
      <c r="B37" s="4"/>
      <c r="C37" s="4"/>
      <c r="D37" s="4"/>
      <c r="E37" s="4"/>
      <c r="F37" s="4"/>
      <c r="G37" s="4"/>
      <c r="H37" s="4"/>
      <c r="I37" s="4"/>
      <c r="J37" s="4"/>
      <c r="K37" s="4"/>
      <c r="L37" s="3">
        <v>0.20833333333333334</v>
      </c>
      <c r="M37" s="4"/>
      <c r="N37" s="4"/>
      <c r="O37" s="4"/>
      <c r="P37" s="4"/>
    </row>
    <row r="38" spans="1:16" x14ac:dyDescent="0.25">
      <c r="A38" s="4" t="s">
        <v>248</v>
      </c>
      <c r="B38" s="3">
        <v>0.39305555555555555</v>
      </c>
      <c r="C38" s="3">
        <v>0.54722222222222217</v>
      </c>
      <c r="D38" s="3">
        <v>0.58472222222222225</v>
      </c>
      <c r="E38" s="3">
        <v>0.78125</v>
      </c>
      <c r="F38" s="4"/>
      <c r="G38" s="4"/>
      <c r="H38" s="3">
        <v>0.33333333333333331</v>
      </c>
      <c r="I38" s="3">
        <v>0.33333333333333331</v>
      </c>
      <c r="J38" s="4"/>
      <c r="K38" s="4"/>
      <c r="L38" s="4"/>
      <c r="M38" s="4"/>
      <c r="N38" s="4"/>
      <c r="O38" s="4"/>
      <c r="P38" s="3">
        <v>1.7361111111111112E-2</v>
      </c>
    </row>
    <row r="39" spans="1:16" x14ac:dyDescent="0.25">
      <c r="A39" s="4" t="s">
        <v>249</v>
      </c>
      <c r="B39" s="3">
        <v>0.39374999999999999</v>
      </c>
      <c r="C39" s="3">
        <v>0.56874999999999998</v>
      </c>
      <c r="D39" s="3">
        <v>0.60069444444444442</v>
      </c>
      <c r="E39" s="4" t="s">
        <v>250</v>
      </c>
      <c r="F39" s="4"/>
      <c r="G39" s="4"/>
      <c r="H39" s="3">
        <v>0.375</v>
      </c>
      <c r="I39" s="3">
        <v>0.375</v>
      </c>
      <c r="J39" s="4"/>
      <c r="K39" s="4"/>
      <c r="L39" s="4"/>
      <c r="M39" s="4"/>
      <c r="N39" s="4"/>
      <c r="O39" s="4"/>
      <c r="P39" s="3">
        <v>1.2499999999999999E-2</v>
      </c>
    </row>
    <row r="40" spans="1:16" x14ac:dyDescent="0.25">
      <c r="A40" s="4" t="s">
        <v>251</v>
      </c>
      <c r="B40" s="4" t="s">
        <v>252</v>
      </c>
      <c r="C40" s="4" t="s">
        <v>253</v>
      </c>
      <c r="D40" s="4" t="s">
        <v>254</v>
      </c>
      <c r="E40" s="4" t="s">
        <v>255</v>
      </c>
      <c r="F40" s="4"/>
      <c r="G40" s="4"/>
      <c r="H40" s="3">
        <v>0.375</v>
      </c>
      <c r="I40" s="3">
        <v>0.3576388888888889</v>
      </c>
      <c r="J40" s="4"/>
      <c r="K40" s="4"/>
      <c r="L40" s="4"/>
      <c r="M40" s="4"/>
      <c r="N40" s="4"/>
      <c r="O40" s="3">
        <v>1.7361111111111112E-2</v>
      </c>
      <c r="P40" s="3">
        <v>7.7083333333333337E-2</v>
      </c>
    </row>
    <row r="41" spans="1:16" x14ac:dyDescent="0.25">
      <c r="A41" s="4" t="s">
        <v>256</v>
      </c>
      <c r="B41" s="4" t="s">
        <v>257</v>
      </c>
      <c r="C41" s="4" t="s">
        <v>42</v>
      </c>
      <c r="D41" s="4" t="s">
        <v>43</v>
      </c>
      <c r="E41" s="4" t="s">
        <v>258</v>
      </c>
      <c r="F41" s="4"/>
      <c r="G41" s="4"/>
      <c r="H41" s="3">
        <v>0.375</v>
      </c>
      <c r="I41" s="3">
        <v>0.375</v>
      </c>
      <c r="J41" s="4"/>
      <c r="K41" s="4"/>
      <c r="L41" s="4"/>
      <c r="M41" s="4"/>
      <c r="N41" s="4"/>
      <c r="O41" s="4"/>
      <c r="P41" s="3">
        <v>6.5277777777777782E-2</v>
      </c>
    </row>
    <row r="42" spans="1:16" x14ac:dyDescent="0.25">
      <c r="A42" s="4" t="s">
        <v>259</v>
      </c>
      <c r="B42" s="3">
        <v>0.3659722222222222</v>
      </c>
      <c r="C42" s="3">
        <v>0.56180555555555556</v>
      </c>
      <c r="D42" s="3">
        <v>0.59861111111111109</v>
      </c>
      <c r="E42" s="3">
        <v>0.88958333333333339</v>
      </c>
      <c r="F42" s="4"/>
      <c r="G42" s="4"/>
      <c r="H42" s="3">
        <v>0.375</v>
      </c>
      <c r="I42" s="3">
        <v>0.375</v>
      </c>
      <c r="J42" s="4"/>
      <c r="K42" s="4"/>
      <c r="L42" s="4"/>
      <c r="M42" s="4"/>
      <c r="N42" s="4"/>
      <c r="O42" s="4"/>
      <c r="P42" s="3">
        <v>0.11180555555555556</v>
      </c>
    </row>
    <row r="43" spans="1:16" x14ac:dyDescent="0.25">
      <c r="A43" s="4" t="s">
        <v>260</v>
      </c>
      <c r="B43" s="4" t="s">
        <v>25</v>
      </c>
      <c r="C43" s="4" t="s">
        <v>25</v>
      </c>
      <c r="D43" s="4" t="s">
        <v>25</v>
      </c>
      <c r="E43" s="4" t="s">
        <v>25</v>
      </c>
      <c r="F43" s="4" t="s">
        <v>25</v>
      </c>
      <c r="G43" s="4" t="s">
        <v>25</v>
      </c>
      <c r="H43" s="4"/>
      <c r="I43" s="4"/>
      <c r="J43" s="4"/>
      <c r="K43" s="4"/>
      <c r="L43" s="4"/>
      <c r="M43" s="4"/>
      <c r="N43" s="4"/>
      <c r="O43" s="4"/>
      <c r="P43" s="4"/>
    </row>
    <row r="44" spans="1:16" x14ac:dyDescent="0.25">
      <c r="A44" s="4" t="s">
        <v>261</v>
      </c>
      <c r="B44" s="4" t="s">
        <v>25</v>
      </c>
      <c r="C44" s="4" t="s">
        <v>25</v>
      </c>
      <c r="D44" s="4" t="s">
        <v>25</v>
      </c>
      <c r="E44" s="4" t="s">
        <v>25</v>
      </c>
      <c r="F44" s="4" t="s">
        <v>25</v>
      </c>
      <c r="G44" s="4" t="s">
        <v>25</v>
      </c>
      <c r="H44" s="4"/>
      <c r="I44" s="4"/>
      <c r="J44" s="4"/>
      <c r="K44" s="4"/>
      <c r="L44" s="4"/>
      <c r="M44" s="4"/>
      <c r="N44" s="4"/>
      <c r="O44" s="4"/>
      <c r="P44" s="4"/>
    </row>
    <row r="45" spans="1:16" x14ac:dyDescent="0.25">
      <c r="A45" s="4" t="s">
        <v>262</v>
      </c>
      <c r="B45" s="3">
        <v>0.3979166666666667</v>
      </c>
      <c r="C45" s="3">
        <v>0.54791666666666672</v>
      </c>
      <c r="D45" s="3">
        <v>0.5805555555555556</v>
      </c>
      <c r="E45" s="3">
        <v>0.7909722222222223</v>
      </c>
      <c r="F45" s="4"/>
      <c r="G45" s="4"/>
      <c r="H45" s="3">
        <v>0.33333333333333331</v>
      </c>
      <c r="I45" s="3">
        <v>0.33333333333333331</v>
      </c>
      <c r="J45" s="4"/>
      <c r="K45" s="4"/>
      <c r="L45" s="4"/>
      <c r="M45" s="4"/>
      <c r="N45" s="4"/>
      <c r="O45" s="4"/>
      <c r="P45" s="3">
        <v>2.7083333333333334E-2</v>
      </c>
    </row>
    <row r="46" spans="1:16" x14ac:dyDescent="0.25">
      <c r="A46" s="4" t="s">
        <v>263</v>
      </c>
      <c r="B46" s="3">
        <v>0.39444444444444443</v>
      </c>
      <c r="C46" s="3">
        <v>0.90555555555555556</v>
      </c>
      <c r="D46" s="4"/>
      <c r="E46" s="4"/>
      <c r="F46" s="4"/>
      <c r="G46" s="4"/>
      <c r="H46" s="3">
        <v>0.375</v>
      </c>
      <c r="I46" s="3">
        <v>0.375</v>
      </c>
      <c r="J46" s="4"/>
      <c r="K46" s="4"/>
      <c r="L46" s="4"/>
      <c r="M46" s="4"/>
      <c r="N46" s="4"/>
      <c r="O46" s="4"/>
      <c r="P46" s="3">
        <v>0.1361111111111111</v>
      </c>
    </row>
    <row r="47" spans="1:16" x14ac:dyDescent="0.25">
      <c r="A47" s="4" t="s">
        <v>264</v>
      </c>
      <c r="B47" s="3">
        <v>0.4069444444444445</v>
      </c>
      <c r="C47" s="3">
        <v>0.55069444444444449</v>
      </c>
      <c r="D47" s="3">
        <v>0.59097222222222223</v>
      </c>
      <c r="E47" s="3">
        <v>0.84583333333333333</v>
      </c>
      <c r="F47" s="4"/>
      <c r="G47" s="4"/>
      <c r="H47" s="3">
        <v>0.375</v>
      </c>
      <c r="I47" s="3">
        <v>0.375</v>
      </c>
      <c r="J47" s="4"/>
      <c r="K47" s="4"/>
      <c r="L47" s="4"/>
      <c r="M47" s="4"/>
      <c r="N47" s="4"/>
      <c r="O47" s="4"/>
      <c r="P47" s="3">
        <v>2.361111111111111E-2</v>
      </c>
    </row>
    <row r="49" spans="1:13" x14ac:dyDescent="0.25">
      <c r="A49" s="7" t="s">
        <v>45</v>
      </c>
    </row>
    <row r="52" spans="1:13" x14ac:dyDescent="0.25">
      <c r="A52" s="7" t="s">
        <v>46</v>
      </c>
    </row>
    <row r="53" spans="1:13" x14ac:dyDescent="0.25">
      <c r="A53" s="7" t="s">
        <v>8</v>
      </c>
      <c r="F53" s="7" t="s">
        <v>47</v>
      </c>
    </row>
    <row r="54" spans="1:13" x14ac:dyDescent="0.25">
      <c r="F54" s="7"/>
    </row>
    <row r="58" spans="1:13" x14ac:dyDescent="0.25">
      <c r="G58" s="1" t="s">
        <v>18</v>
      </c>
    </row>
    <row r="59" spans="1:13" x14ac:dyDescent="0.25">
      <c r="A59" s="1" t="s">
        <v>1</v>
      </c>
      <c r="B59" t="s">
        <v>2</v>
      </c>
      <c r="H59" s="1" t="s">
        <v>19</v>
      </c>
      <c r="I59" s="1" t="s">
        <v>20</v>
      </c>
      <c r="J59" s="1" t="s">
        <v>21</v>
      </c>
      <c r="K59" s="1" t="s">
        <v>22</v>
      </c>
      <c r="L59" s="1" t="s">
        <v>23</v>
      </c>
      <c r="M59" s="1" t="s">
        <v>24</v>
      </c>
    </row>
    <row r="60" spans="1:13" x14ac:dyDescent="0.25">
      <c r="A60" s="1" t="s">
        <v>3</v>
      </c>
      <c r="B60" t="s">
        <v>4</v>
      </c>
      <c r="G60" s="1" t="s">
        <v>220</v>
      </c>
      <c r="H60" s="3">
        <v>0.35416666666666669</v>
      </c>
      <c r="I60" s="3">
        <v>0.5</v>
      </c>
      <c r="J60" s="3">
        <v>0.54166666666666663</v>
      </c>
      <c r="K60" s="3">
        <v>0.77083333333333337</v>
      </c>
      <c r="L60" s="4"/>
      <c r="M60" s="4"/>
    </row>
    <row r="61" spans="1:13" x14ac:dyDescent="0.25">
      <c r="A61" s="1" t="s">
        <v>5</v>
      </c>
      <c r="B61" t="s">
        <v>6</v>
      </c>
      <c r="G61" s="1" t="s">
        <v>221</v>
      </c>
      <c r="H61" s="3">
        <v>0.35416666666666669</v>
      </c>
      <c r="I61" s="3">
        <v>0.5</v>
      </c>
      <c r="J61" s="3">
        <v>0.54166666666666663</v>
      </c>
      <c r="K61" s="3">
        <v>0.77083333333333337</v>
      </c>
      <c r="L61" s="4"/>
      <c r="M61" s="4"/>
    </row>
    <row r="62" spans="1:13" x14ac:dyDescent="0.25">
      <c r="G62" s="1" t="s">
        <v>222</v>
      </c>
      <c r="H62" s="3">
        <v>0.35416666666666669</v>
      </c>
      <c r="I62" s="3">
        <v>0.5</v>
      </c>
      <c r="J62" s="3">
        <v>0.54166666666666663</v>
      </c>
      <c r="K62" s="3">
        <v>0.77083333333333337</v>
      </c>
      <c r="L62" s="4"/>
      <c r="M62" s="4"/>
    </row>
    <row r="63" spans="1:13" x14ac:dyDescent="0.25">
      <c r="A63" s="1" t="s">
        <v>7</v>
      </c>
      <c r="B63" t="s">
        <v>48</v>
      </c>
      <c r="G63" s="1" t="s">
        <v>223</v>
      </c>
      <c r="H63" s="3">
        <v>0.35416666666666669</v>
      </c>
      <c r="I63" s="3">
        <v>0.5</v>
      </c>
      <c r="J63" s="3">
        <v>0.54166666666666663</v>
      </c>
      <c r="K63" s="3">
        <v>0.77083333333333337</v>
      </c>
      <c r="L63" s="4"/>
      <c r="M63" s="4"/>
    </row>
    <row r="64" spans="1:13" x14ac:dyDescent="0.25">
      <c r="A64" s="1" t="s">
        <v>9</v>
      </c>
      <c r="B64" t="s">
        <v>49</v>
      </c>
      <c r="D64" s="1" t="s">
        <v>11</v>
      </c>
      <c r="E64" t="s">
        <v>49</v>
      </c>
      <c r="G64" s="1" t="s">
        <v>224</v>
      </c>
      <c r="H64" s="3">
        <v>0.375</v>
      </c>
      <c r="I64" s="3">
        <v>0.5</v>
      </c>
      <c r="J64" s="3">
        <v>0.54166666666666663</v>
      </c>
      <c r="K64" s="3">
        <v>0.75</v>
      </c>
      <c r="L64" s="4"/>
      <c r="M64" s="4"/>
    </row>
    <row r="65" spans="1:16" x14ac:dyDescent="0.25">
      <c r="A65" s="1" t="s">
        <v>12</v>
      </c>
      <c r="D65" s="1" t="s">
        <v>13</v>
      </c>
      <c r="E65" s="2">
        <v>42499</v>
      </c>
      <c r="G65" s="1" t="s">
        <v>225</v>
      </c>
      <c r="H65" s="4" t="s">
        <v>25</v>
      </c>
      <c r="I65" s="4" t="s">
        <v>25</v>
      </c>
      <c r="J65" s="4" t="s">
        <v>25</v>
      </c>
      <c r="K65" s="4" t="s">
        <v>25</v>
      </c>
      <c r="L65" s="4" t="s">
        <v>25</v>
      </c>
      <c r="M65" s="4" t="s">
        <v>25</v>
      </c>
    </row>
    <row r="66" spans="1:16" x14ac:dyDescent="0.25">
      <c r="A66" s="1" t="s">
        <v>14</v>
      </c>
      <c r="B66" t="s">
        <v>50</v>
      </c>
      <c r="G66" s="1" t="s">
        <v>226</v>
      </c>
      <c r="H66" s="4" t="s">
        <v>25</v>
      </c>
      <c r="I66" s="4" t="s">
        <v>25</v>
      </c>
      <c r="J66" s="4" t="s">
        <v>25</v>
      </c>
      <c r="K66" s="4" t="s">
        <v>25</v>
      </c>
      <c r="L66" s="4" t="s">
        <v>25</v>
      </c>
      <c r="M66" s="4" t="s">
        <v>25</v>
      </c>
    </row>
    <row r="67" spans="1:16" x14ac:dyDescent="0.25">
      <c r="A67" s="1" t="s">
        <v>16</v>
      </c>
      <c r="B67" t="s">
        <v>17</v>
      </c>
    </row>
    <row r="70" spans="1:16" x14ac:dyDescent="0.25">
      <c r="A70" s="5" t="s">
        <v>26</v>
      </c>
      <c r="B70" s="5" t="s">
        <v>27</v>
      </c>
      <c r="C70" s="5" t="s">
        <v>28</v>
      </c>
      <c r="D70" s="5" t="s">
        <v>29</v>
      </c>
      <c r="E70" s="5" t="s">
        <v>30</v>
      </c>
      <c r="F70" s="5" t="s">
        <v>31</v>
      </c>
      <c r="G70" s="5" t="s">
        <v>32</v>
      </c>
      <c r="H70" s="5" t="s">
        <v>33</v>
      </c>
      <c r="I70" s="5" t="s">
        <v>34</v>
      </c>
      <c r="J70" s="5" t="s">
        <v>35</v>
      </c>
      <c r="K70" s="5" t="s">
        <v>36</v>
      </c>
      <c r="L70" s="5" t="s">
        <v>37</v>
      </c>
      <c r="M70" s="5" t="s">
        <v>38</v>
      </c>
      <c r="N70" s="5" t="s">
        <v>39</v>
      </c>
      <c r="O70" s="5" t="s">
        <v>40</v>
      </c>
      <c r="P70" s="5" t="s">
        <v>41</v>
      </c>
    </row>
    <row r="71" spans="1:16" x14ac:dyDescent="0.25">
      <c r="A71" s="4"/>
      <c r="B71" s="4"/>
      <c r="C71" s="4"/>
      <c r="D71" s="4"/>
      <c r="E71" s="4"/>
      <c r="F71" s="4"/>
      <c r="G71" s="4"/>
      <c r="H71" s="6">
        <v>8.0833333333333339</v>
      </c>
      <c r="I71" s="6">
        <v>8.030555555555555</v>
      </c>
      <c r="J71" s="6">
        <v>1.8451388888888889</v>
      </c>
      <c r="K71" s="3">
        <v>0</v>
      </c>
      <c r="L71" s="3">
        <v>0</v>
      </c>
      <c r="M71" s="3">
        <v>0</v>
      </c>
      <c r="N71" s="3">
        <v>0</v>
      </c>
      <c r="O71" s="3">
        <v>5.2777777777777778E-2</v>
      </c>
      <c r="P71" s="3">
        <v>4.1666666666666664E-2</v>
      </c>
    </row>
    <row r="72" spans="1:16" x14ac:dyDescent="0.25">
      <c r="A72" s="4" t="s">
        <v>227</v>
      </c>
      <c r="B72" s="3">
        <v>0.3666666666666667</v>
      </c>
      <c r="C72" s="3">
        <v>0.5444444444444444</v>
      </c>
      <c r="D72" s="3">
        <v>0.58124999999999993</v>
      </c>
      <c r="E72" s="3">
        <v>0.77083333333333337</v>
      </c>
      <c r="F72" s="4"/>
      <c r="G72" s="4"/>
      <c r="H72" s="3">
        <v>0.375</v>
      </c>
      <c r="I72" s="3">
        <v>0.36736111111111108</v>
      </c>
      <c r="J72" s="4"/>
      <c r="K72" s="4"/>
      <c r="L72" s="4"/>
      <c r="M72" s="4"/>
      <c r="N72" s="4"/>
      <c r="O72" s="3">
        <v>7.6388888888888886E-3</v>
      </c>
      <c r="P72" s="4"/>
    </row>
    <row r="73" spans="1:16" x14ac:dyDescent="0.25">
      <c r="A73" s="4" t="s">
        <v>228</v>
      </c>
      <c r="B73" s="3">
        <v>0.35694444444444445</v>
      </c>
      <c r="C73" s="3">
        <v>0.56180555555555556</v>
      </c>
      <c r="D73" s="4" t="s">
        <v>52</v>
      </c>
      <c r="E73" s="4" t="s">
        <v>52</v>
      </c>
      <c r="F73" s="4"/>
      <c r="G73" s="4"/>
      <c r="H73" s="3">
        <v>0.375</v>
      </c>
      <c r="I73" s="3">
        <v>0.375</v>
      </c>
      <c r="J73" s="3">
        <v>0.1673611111111111</v>
      </c>
      <c r="K73" s="4"/>
      <c r="L73" s="4"/>
      <c r="M73" s="4"/>
      <c r="N73" s="4"/>
      <c r="O73" s="4"/>
      <c r="P73" s="4"/>
    </row>
    <row r="74" spans="1:16" x14ac:dyDescent="0.25">
      <c r="A74" s="4" t="s">
        <v>229</v>
      </c>
      <c r="B74" s="3">
        <v>0.41736111111111113</v>
      </c>
      <c r="C74" s="3">
        <v>0.5131944444444444</v>
      </c>
      <c r="D74" s="3">
        <v>0.56319444444444444</v>
      </c>
      <c r="E74" s="3">
        <v>0.76111111111111107</v>
      </c>
      <c r="F74" s="4"/>
      <c r="G74" s="4"/>
      <c r="H74" s="3">
        <v>0.375</v>
      </c>
      <c r="I74" s="3">
        <v>0.375</v>
      </c>
      <c r="J74" s="3">
        <v>8.1250000000000003E-2</v>
      </c>
      <c r="K74" s="4"/>
      <c r="L74" s="4"/>
      <c r="M74" s="4"/>
      <c r="N74" s="4"/>
      <c r="O74" s="4"/>
      <c r="P74" s="4"/>
    </row>
    <row r="75" spans="1:16" x14ac:dyDescent="0.25">
      <c r="A75" s="4" t="s">
        <v>230</v>
      </c>
      <c r="B75" s="3">
        <v>0.35555555555555557</v>
      </c>
      <c r="C75" s="3">
        <v>0.53125</v>
      </c>
      <c r="D75" s="3">
        <v>0.5708333333333333</v>
      </c>
      <c r="E75" s="3">
        <v>0.77708333333333324</v>
      </c>
      <c r="F75" s="4"/>
      <c r="G75" s="4"/>
      <c r="H75" s="3">
        <v>0.375</v>
      </c>
      <c r="I75" s="3">
        <v>0.375</v>
      </c>
      <c r="J75" s="4"/>
      <c r="K75" s="4"/>
      <c r="L75" s="4"/>
      <c r="M75" s="4"/>
      <c r="N75" s="4"/>
      <c r="O75" s="4"/>
      <c r="P75" s="3">
        <v>8.3333333333333332E-3</v>
      </c>
    </row>
    <row r="76" spans="1:16" x14ac:dyDescent="0.25">
      <c r="A76" s="4" t="s">
        <v>231</v>
      </c>
      <c r="B76" s="3">
        <v>0.35972222222222222</v>
      </c>
      <c r="C76" s="3">
        <v>0.49722222222222223</v>
      </c>
      <c r="D76" s="3">
        <v>0.55069444444444449</v>
      </c>
      <c r="E76" s="3">
        <v>0.72916666666666663</v>
      </c>
      <c r="F76" s="4"/>
      <c r="G76" s="4"/>
      <c r="H76" s="3">
        <v>0.33333333333333331</v>
      </c>
      <c r="I76" s="3">
        <v>0.31875000000000003</v>
      </c>
      <c r="J76" s="4"/>
      <c r="K76" s="4"/>
      <c r="L76" s="4"/>
      <c r="M76" s="4"/>
      <c r="N76" s="4"/>
      <c r="O76" s="3">
        <v>1.4583333333333332E-2</v>
      </c>
      <c r="P76" s="4"/>
    </row>
    <row r="77" spans="1:16" x14ac:dyDescent="0.25">
      <c r="A77" s="4" t="s">
        <v>232</v>
      </c>
      <c r="B77" s="4" t="s">
        <v>25</v>
      </c>
      <c r="C77" s="4" t="s">
        <v>25</v>
      </c>
      <c r="D77" s="4" t="s">
        <v>25</v>
      </c>
      <c r="E77" s="4" t="s">
        <v>25</v>
      </c>
      <c r="F77" s="4"/>
      <c r="G77" s="4"/>
      <c r="H77" s="4"/>
      <c r="I77" s="4"/>
      <c r="J77" s="4"/>
      <c r="K77" s="4"/>
      <c r="L77" s="4"/>
      <c r="M77" s="4"/>
      <c r="N77" s="4"/>
      <c r="O77" s="4"/>
      <c r="P77" s="4"/>
    </row>
    <row r="78" spans="1:16" x14ac:dyDescent="0.25">
      <c r="A78" s="4" t="s">
        <v>233</v>
      </c>
      <c r="B78" s="4" t="s">
        <v>25</v>
      </c>
      <c r="C78" s="4" t="s">
        <v>25</v>
      </c>
      <c r="D78" s="4" t="s">
        <v>25</v>
      </c>
      <c r="E78" s="4" t="s">
        <v>25</v>
      </c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</row>
    <row r="79" spans="1:16" x14ac:dyDescent="0.25">
      <c r="A79" s="4" t="s">
        <v>234</v>
      </c>
      <c r="B79" s="3">
        <v>0.3659722222222222</v>
      </c>
      <c r="C79" s="3">
        <v>0.53055555555555556</v>
      </c>
      <c r="D79" s="3">
        <v>0.5708333333333333</v>
      </c>
      <c r="E79" s="3">
        <v>0.78055555555555556</v>
      </c>
      <c r="F79" s="4"/>
      <c r="G79" s="4"/>
      <c r="H79" s="3">
        <v>0.375</v>
      </c>
      <c r="I79" s="3">
        <v>0.375</v>
      </c>
      <c r="J79" s="4"/>
      <c r="K79" s="4"/>
      <c r="L79" s="4"/>
      <c r="M79" s="4"/>
      <c r="N79" s="4"/>
      <c r="O79" s="4"/>
      <c r="P79" s="4"/>
    </row>
    <row r="80" spans="1:16" x14ac:dyDescent="0.25">
      <c r="A80" s="4" t="s">
        <v>235</v>
      </c>
      <c r="B80" s="3">
        <v>0.35416666666666669</v>
      </c>
      <c r="C80" s="3">
        <v>0.54097222222222219</v>
      </c>
      <c r="D80" s="3">
        <v>0.58194444444444449</v>
      </c>
      <c r="E80" s="3">
        <v>0.7715277777777777</v>
      </c>
      <c r="F80" s="4"/>
      <c r="G80" s="4"/>
      <c r="H80" s="3">
        <v>0.375</v>
      </c>
      <c r="I80" s="3">
        <v>0.375</v>
      </c>
      <c r="J80" s="4"/>
      <c r="K80" s="4"/>
      <c r="L80" s="4"/>
      <c r="M80" s="4"/>
      <c r="N80" s="4"/>
      <c r="O80" s="4"/>
      <c r="P80" s="4"/>
    </row>
    <row r="81" spans="1:16" x14ac:dyDescent="0.25">
      <c r="A81" s="4" t="s">
        <v>236</v>
      </c>
      <c r="B81" s="3">
        <v>0.35416666666666669</v>
      </c>
      <c r="C81" s="3">
        <v>0.53611111111111109</v>
      </c>
      <c r="D81" s="3">
        <v>0.5805555555555556</v>
      </c>
      <c r="E81" s="3">
        <v>0.77638888888888891</v>
      </c>
      <c r="F81" s="4"/>
      <c r="G81" s="4"/>
      <c r="H81" s="3">
        <v>0.375</v>
      </c>
      <c r="I81" s="3">
        <v>0.375</v>
      </c>
      <c r="J81" s="4"/>
      <c r="K81" s="4"/>
      <c r="L81" s="4"/>
      <c r="M81" s="4"/>
      <c r="N81" s="4"/>
      <c r="O81" s="4"/>
      <c r="P81" s="4"/>
    </row>
    <row r="82" spans="1:16" x14ac:dyDescent="0.25">
      <c r="A82" s="4" t="s">
        <v>237</v>
      </c>
      <c r="B82" s="3">
        <v>0.36249999999999999</v>
      </c>
      <c r="C82" s="3">
        <v>0.54236111111111118</v>
      </c>
      <c r="D82" s="3">
        <v>0.57986111111111105</v>
      </c>
      <c r="E82" s="3">
        <v>0.7729166666666667</v>
      </c>
      <c r="F82" s="4"/>
      <c r="G82" s="4"/>
      <c r="H82" s="3">
        <v>0.375</v>
      </c>
      <c r="I82" s="3">
        <v>0.375</v>
      </c>
      <c r="J82" s="4"/>
      <c r="K82" s="4"/>
      <c r="L82" s="4"/>
      <c r="M82" s="4"/>
      <c r="N82" s="4"/>
      <c r="O82" s="4"/>
      <c r="P82" s="4"/>
    </row>
    <row r="83" spans="1:16" x14ac:dyDescent="0.25">
      <c r="A83" s="4" t="s">
        <v>238</v>
      </c>
      <c r="B83" s="3">
        <v>0.42986111111111108</v>
      </c>
      <c r="C83" s="3">
        <v>0.55694444444444446</v>
      </c>
      <c r="D83" s="3">
        <v>0.60625000000000007</v>
      </c>
      <c r="E83" s="3">
        <v>0.80347222222222225</v>
      </c>
      <c r="F83" s="4"/>
      <c r="G83" s="4"/>
      <c r="H83" s="3">
        <v>0.33333333333333331</v>
      </c>
      <c r="I83" s="3">
        <v>0.32430555555555557</v>
      </c>
      <c r="J83" s="4"/>
      <c r="K83" s="4"/>
      <c r="L83" s="4"/>
      <c r="M83" s="4"/>
      <c r="N83" s="4"/>
      <c r="O83" s="3">
        <v>9.0277777777777787E-3</v>
      </c>
      <c r="P83" s="4"/>
    </row>
    <row r="84" spans="1:16" x14ac:dyDescent="0.25">
      <c r="A84" s="4" t="s">
        <v>239</v>
      </c>
      <c r="B84" s="4" t="s">
        <v>25</v>
      </c>
      <c r="C84" s="4" t="s">
        <v>25</v>
      </c>
      <c r="D84" s="4" t="s">
        <v>25</v>
      </c>
      <c r="E84" s="4" t="s">
        <v>25</v>
      </c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</row>
    <row r="85" spans="1:16" x14ac:dyDescent="0.25">
      <c r="A85" s="4" t="s">
        <v>240</v>
      </c>
      <c r="B85" s="4" t="s">
        <v>25</v>
      </c>
      <c r="C85" s="4" t="s">
        <v>25</v>
      </c>
      <c r="D85" s="4" t="s">
        <v>25</v>
      </c>
      <c r="E85" s="4" t="s">
        <v>25</v>
      </c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</row>
    <row r="86" spans="1:16" x14ac:dyDescent="0.25">
      <c r="A86" s="4" t="s">
        <v>241</v>
      </c>
      <c r="B86" s="3">
        <v>0.35416666666666669</v>
      </c>
      <c r="C86" s="3">
        <v>0.54097222222222219</v>
      </c>
      <c r="D86" s="3">
        <v>0.58263888888888882</v>
      </c>
      <c r="E86" s="3">
        <v>0.77083333333333337</v>
      </c>
      <c r="F86" s="4"/>
      <c r="G86" s="4"/>
      <c r="H86" s="3">
        <v>0.375</v>
      </c>
      <c r="I86" s="3">
        <v>0.375</v>
      </c>
      <c r="J86" s="4"/>
      <c r="K86" s="4"/>
      <c r="L86" s="4"/>
      <c r="M86" s="4"/>
      <c r="N86" s="4"/>
      <c r="O86" s="4"/>
      <c r="P86" s="4"/>
    </row>
    <row r="87" spans="1:16" x14ac:dyDescent="0.25">
      <c r="A87" s="4" t="s">
        <v>242</v>
      </c>
      <c r="B87" s="3">
        <v>0.35416666666666669</v>
      </c>
      <c r="C87" s="3">
        <v>0.51250000000000007</v>
      </c>
      <c r="D87" s="3">
        <v>0.5541666666666667</v>
      </c>
      <c r="E87" s="3">
        <v>0.77430555555555547</v>
      </c>
      <c r="F87" s="4"/>
      <c r="G87" s="4"/>
      <c r="H87" s="3">
        <v>0.375</v>
      </c>
      <c r="I87" s="3">
        <v>0.375</v>
      </c>
      <c r="J87" s="4"/>
      <c r="K87" s="4"/>
      <c r="L87" s="4"/>
      <c r="M87" s="4"/>
      <c r="N87" s="4"/>
      <c r="O87" s="4"/>
      <c r="P87" s="4"/>
    </row>
    <row r="88" spans="1:16" x14ac:dyDescent="0.25">
      <c r="A88" s="4" t="s">
        <v>243</v>
      </c>
      <c r="B88" s="3">
        <v>0.35416666666666669</v>
      </c>
      <c r="C88" s="3">
        <v>0.5708333333333333</v>
      </c>
      <c r="D88" s="3">
        <v>0.61944444444444446</v>
      </c>
      <c r="E88" s="3">
        <v>0.7715277777777777</v>
      </c>
      <c r="F88" s="4"/>
      <c r="G88" s="4"/>
      <c r="H88" s="3">
        <v>0.375</v>
      </c>
      <c r="I88" s="3">
        <v>0.36805555555555558</v>
      </c>
      <c r="J88" s="4"/>
      <c r="K88" s="4"/>
      <c r="L88" s="4"/>
      <c r="M88" s="4"/>
      <c r="N88" s="4"/>
      <c r="O88" s="3">
        <v>6.9444444444444441E-3</v>
      </c>
      <c r="P88" s="4"/>
    </row>
    <row r="89" spans="1:16" x14ac:dyDescent="0.25">
      <c r="A89" s="4" t="s">
        <v>244</v>
      </c>
      <c r="B89" s="4" t="s">
        <v>265</v>
      </c>
      <c r="C89" s="4" t="s">
        <v>265</v>
      </c>
      <c r="D89" s="4" t="s">
        <v>265</v>
      </c>
      <c r="E89" s="4" t="s">
        <v>265</v>
      </c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</row>
    <row r="90" spans="1:16" x14ac:dyDescent="0.25">
      <c r="A90" s="4" t="s">
        <v>245</v>
      </c>
      <c r="B90" s="4" t="s">
        <v>52</v>
      </c>
      <c r="C90" s="4" t="s">
        <v>52</v>
      </c>
      <c r="D90" s="4" t="s">
        <v>52</v>
      </c>
      <c r="E90" s="4" t="s">
        <v>52</v>
      </c>
      <c r="F90" s="4"/>
      <c r="G90" s="4"/>
      <c r="H90" s="3">
        <v>0.33333333333333331</v>
      </c>
      <c r="I90" s="3">
        <v>0.33333333333333331</v>
      </c>
      <c r="J90" s="3">
        <v>0.33333333333333331</v>
      </c>
      <c r="K90" s="4"/>
      <c r="L90" s="4"/>
      <c r="M90" s="4"/>
      <c r="N90" s="4"/>
      <c r="O90" s="4"/>
      <c r="P90" s="4"/>
    </row>
    <row r="91" spans="1:16" x14ac:dyDescent="0.25">
      <c r="A91" s="4" t="s">
        <v>246</v>
      </c>
      <c r="B91" s="4" t="s">
        <v>25</v>
      </c>
      <c r="C91" s="4" t="s">
        <v>25</v>
      </c>
      <c r="D91" s="4" t="s">
        <v>25</v>
      </c>
      <c r="E91" s="4" t="s">
        <v>25</v>
      </c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</row>
    <row r="92" spans="1:16" x14ac:dyDescent="0.25">
      <c r="A92" s="4" t="s">
        <v>247</v>
      </c>
      <c r="B92" s="4" t="s">
        <v>25</v>
      </c>
      <c r="C92" s="4" t="s">
        <v>25</v>
      </c>
      <c r="D92" s="4" t="s">
        <v>25</v>
      </c>
      <c r="E92" s="4" t="s">
        <v>25</v>
      </c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</row>
    <row r="93" spans="1:16" x14ac:dyDescent="0.25">
      <c r="A93" s="4" t="s">
        <v>248</v>
      </c>
      <c r="B93" s="3">
        <v>0.35972222222222222</v>
      </c>
      <c r="C93" s="3">
        <v>0.51458333333333328</v>
      </c>
      <c r="D93" s="3">
        <v>0.55625000000000002</v>
      </c>
      <c r="E93" s="3">
        <v>0.79027777777777775</v>
      </c>
      <c r="F93" s="4"/>
      <c r="G93" s="4"/>
      <c r="H93" s="3">
        <v>0.375</v>
      </c>
      <c r="I93" s="3">
        <v>0.375</v>
      </c>
      <c r="J93" s="4"/>
      <c r="K93" s="4"/>
      <c r="L93" s="4"/>
      <c r="M93" s="4"/>
      <c r="N93" s="4"/>
      <c r="O93" s="4"/>
      <c r="P93" s="3">
        <v>1.3888888888888888E-2</v>
      </c>
    </row>
    <row r="94" spans="1:16" x14ac:dyDescent="0.25">
      <c r="A94" s="4" t="s">
        <v>249</v>
      </c>
      <c r="B94" s="3">
        <v>0.3743055555555555</v>
      </c>
      <c r="C94" s="3">
        <v>0.56944444444444442</v>
      </c>
      <c r="D94" s="4" t="s">
        <v>52</v>
      </c>
      <c r="E94" s="4" t="s">
        <v>52</v>
      </c>
      <c r="F94" s="4"/>
      <c r="G94" s="4"/>
      <c r="H94" s="3">
        <v>0.375</v>
      </c>
      <c r="I94" s="3">
        <v>0.375</v>
      </c>
      <c r="J94" s="3">
        <v>0.17986111111111111</v>
      </c>
      <c r="K94" s="4"/>
      <c r="L94" s="4"/>
      <c r="M94" s="4"/>
      <c r="N94" s="4"/>
      <c r="O94" s="4"/>
      <c r="P94" s="4"/>
    </row>
    <row r="95" spans="1:16" x14ac:dyDescent="0.25">
      <c r="A95" s="4" t="s">
        <v>251</v>
      </c>
      <c r="B95" s="4" t="s">
        <v>52</v>
      </c>
      <c r="C95" s="4" t="s">
        <v>52</v>
      </c>
      <c r="D95" s="4" t="s">
        <v>52</v>
      </c>
      <c r="E95" s="4" t="s">
        <v>52</v>
      </c>
      <c r="F95" s="4"/>
      <c r="G95" s="4"/>
      <c r="H95" s="3">
        <v>0.375</v>
      </c>
      <c r="I95" s="3">
        <v>0.375</v>
      </c>
      <c r="J95" s="3">
        <v>0.375</v>
      </c>
      <c r="K95" s="4"/>
      <c r="L95" s="4"/>
      <c r="M95" s="4"/>
      <c r="N95" s="4"/>
      <c r="O95" s="4"/>
      <c r="P95" s="4"/>
    </row>
    <row r="96" spans="1:16" x14ac:dyDescent="0.25">
      <c r="A96" s="4" t="s">
        <v>256</v>
      </c>
      <c r="B96" s="4" t="s">
        <v>52</v>
      </c>
      <c r="C96" s="4" t="s">
        <v>52</v>
      </c>
      <c r="D96" s="4" t="s">
        <v>52</v>
      </c>
      <c r="E96" s="4" t="s">
        <v>52</v>
      </c>
      <c r="F96" s="4"/>
      <c r="G96" s="4"/>
      <c r="H96" s="3">
        <v>0.375</v>
      </c>
      <c r="I96" s="3">
        <v>0.375</v>
      </c>
      <c r="J96" s="3">
        <v>0.375</v>
      </c>
      <c r="K96" s="4"/>
      <c r="L96" s="4"/>
      <c r="M96" s="4"/>
      <c r="N96" s="4"/>
      <c r="O96" s="4"/>
      <c r="P96" s="4"/>
    </row>
    <row r="97" spans="1:16" x14ac:dyDescent="0.25">
      <c r="A97" s="4" t="s">
        <v>259</v>
      </c>
      <c r="B97" s="4" t="s">
        <v>52</v>
      </c>
      <c r="C97" s="4" t="s">
        <v>52</v>
      </c>
      <c r="D97" s="4" t="s">
        <v>52</v>
      </c>
      <c r="E97" s="4" t="s">
        <v>52</v>
      </c>
      <c r="F97" s="4"/>
      <c r="G97" s="4"/>
      <c r="H97" s="3">
        <v>0.33333333333333331</v>
      </c>
      <c r="I97" s="3">
        <v>0.33333333333333331</v>
      </c>
      <c r="J97" s="3">
        <v>0.33333333333333331</v>
      </c>
      <c r="K97" s="4"/>
      <c r="L97" s="4"/>
      <c r="M97" s="4"/>
      <c r="N97" s="4"/>
      <c r="O97" s="4"/>
      <c r="P97" s="4"/>
    </row>
    <row r="98" spans="1:16" x14ac:dyDescent="0.25">
      <c r="A98" s="4" t="s">
        <v>260</v>
      </c>
      <c r="B98" s="4" t="s">
        <v>25</v>
      </c>
      <c r="C98" s="4" t="s">
        <v>25</v>
      </c>
      <c r="D98" s="4" t="s">
        <v>25</v>
      </c>
      <c r="E98" s="4" t="s">
        <v>25</v>
      </c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</row>
    <row r="99" spans="1:16" x14ac:dyDescent="0.25">
      <c r="A99" s="4" t="s">
        <v>261</v>
      </c>
      <c r="B99" s="4" t="s">
        <v>25</v>
      </c>
      <c r="C99" s="4" t="s">
        <v>25</v>
      </c>
      <c r="D99" s="4" t="s">
        <v>25</v>
      </c>
      <c r="E99" s="4" t="s">
        <v>25</v>
      </c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</row>
    <row r="100" spans="1:16" x14ac:dyDescent="0.25">
      <c r="A100" s="4" t="s">
        <v>262</v>
      </c>
      <c r="B100" s="3">
        <v>0.35069444444444442</v>
      </c>
      <c r="C100" s="3">
        <v>0.54861111111111105</v>
      </c>
      <c r="D100" s="3">
        <v>0.59166666666666667</v>
      </c>
      <c r="E100" s="3">
        <v>0.7715277777777777</v>
      </c>
      <c r="F100" s="4"/>
      <c r="G100" s="4"/>
      <c r="H100" s="3">
        <v>0.375</v>
      </c>
      <c r="I100" s="3">
        <v>0.375</v>
      </c>
      <c r="J100" s="4"/>
      <c r="K100" s="4"/>
      <c r="L100" s="4"/>
      <c r="M100" s="4"/>
      <c r="N100" s="4"/>
      <c r="O100" s="4"/>
      <c r="P100" s="4"/>
    </row>
    <row r="101" spans="1:16" x14ac:dyDescent="0.25">
      <c r="A101" s="4" t="s">
        <v>263</v>
      </c>
      <c r="B101" s="3">
        <v>0.36874999999999997</v>
      </c>
      <c r="C101" s="3">
        <v>0.50624999999999998</v>
      </c>
      <c r="D101" s="3">
        <v>0.55069444444444449</v>
      </c>
      <c r="E101" s="3">
        <v>0.80763888888888891</v>
      </c>
      <c r="F101" s="4"/>
      <c r="G101" s="4"/>
      <c r="H101" s="3">
        <v>0.375</v>
      </c>
      <c r="I101" s="3">
        <v>0.375</v>
      </c>
      <c r="J101" s="4"/>
      <c r="K101" s="4"/>
      <c r="L101" s="4"/>
      <c r="M101" s="4"/>
      <c r="N101" s="4"/>
      <c r="O101" s="4"/>
      <c r="P101" s="3">
        <v>1.9444444444444445E-2</v>
      </c>
    </row>
    <row r="102" spans="1:16" x14ac:dyDescent="0.25">
      <c r="A102" s="4" t="s">
        <v>264</v>
      </c>
      <c r="B102" s="3">
        <v>0.35416666666666669</v>
      </c>
      <c r="C102" s="3">
        <v>0.56180555555555556</v>
      </c>
      <c r="D102" s="3">
        <v>0.61805555555555558</v>
      </c>
      <c r="E102" s="3">
        <v>0.77083333333333337</v>
      </c>
      <c r="F102" s="4"/>
      <c r="G102" s="4"/>
      <c r="H102" s="3">
        <v>0.375</v>
      </c>
      <c r="I102" s="3">
        <v>0.36041666666666666</v>
      </c>
      <c r="J102" s="4"/>
      <c r="K102" s="4"/>
      <c r="L102" s="4"/>
      <c r="M102" s="4"/>
      <c r="N102" s="4"/>
      <c r="O102" s="3">
        <v>1.4583333333333332E-2</v>
      </c>
      <c r="P102" s="4"/>
    </row>
    <row r="104" spans="1:16" x14ac:dyDescent="0.25">
      <c r="A104" s="7" t="s">
        <v>45</v>
      </c>
    </row>
    <row r="107" spans="1:16" x14ac:dyDescent="0.25">
      <c r="A107" s="7" t="s">
        <v>46</v>
      </c>
    </row>
    <row r="108" spans="1:16" x14ac:dyDescent="0.25">
      <c r="A108" s="7" t="s">
        <v>48</v>
      </c>
      <c r="F108" s="7" t="s">
        <v>47</v>
      </c>
    </row>
    <row r="109" spans="1:16" x14ac:dyDescent="0.25">
      <c r="F109" s="7"/>
    </row>
    <row r="113" spans="1:16" x14ac:dyDescent="0.25">
      <c r="G113" s="1" t="s">
        <v>18</v>
      </c>
    </row>
    <row r="114" spans="1:16" x14ac:dyDescent="0.25">
      <c r="A114" s="1" t="s">
        <v>1</v>
      </c>
      <c r="B114" t="s">
        <v>2</v>
      </c>
      <c r="H114" s="1" t="s">
        <v>19</v>
      </c>
      <c r="I114" s="1" t="s">
        <v>20</v>
      </c>
      <c r="J114" s="1" t="s">
        <v>21</v>
      </c>
      <c r="K114" s="1" t="s">
        <v>22</v>
      </c>
      <c r="L114" s="1" t="s">
        <v>23</v>
      </c>
      <c r="M114" s="1" t="s">
        <v>24</v>
      </c>
    </row>
    <row r="115" spans="1:16" x14ac:dyDescent="0.25">
      <c r="A115" s="1" t="s">
        <v>3</v>
      </c>
      <c r="B115" t="s">
        <v>4</v>
      </c>
      <c r="G115" s="1" t="s">
        <v>220</v>
      </c>
      <c r="H115" s="3">
        <v>0.375</v>
      </c>
      <c r="I115" s="3">
        <v>0.5</v>
      </c>
      <c r="J115" s="3">
        <v>0.54166666666666663</v>
      </c>
      <c r="K115" s="3">
        <v>0.79166666666666663</v>
      </c>
      <c r="L115" s="4"/>
      <c r="M115" s="4"/>
    </row>
    <row r="116" spans="1:16" x14ac:dyDescent="0.25">
      <c r="A116" s="1" t="s">
        <v>5</v>
      </c>
      <c r="B116" t="s">
        <v>6</v>
      </c>
      <c r="G116" s="1" t="s">
        <v>221</v>
      </c>
      <c r="H116" s="3">
        <v>0.375</v>
      </c>
      <c r="I116" s="3">
        <v>0.5</v>
      </c>
      <c r="J116" s="3">
        <v>0.54166666666666663</v>
      </c>
      <c r="K116" s="3">
        <v>0.79166666666666663</v>
      </c>
      <c r="L116" s="4"/>
      <c r="M116" s="4"/>
    </row>
    <row r="117" spans="1:16" x14ac:dyDescent="0.25">
      <c r="G117" s="1" t="s">
        <v>222</v>
      </c>
      <c r="H117" s="3">
        <v>0.375</v>
      </c>
      <c r="I117" s="3">
        <v>0.5</v>
      </c>
      <c r="J117" s="3">
        <v>0.54166666666666663</v>
      </c>
      <c r="K117" s="3">
        <v>0.79166666666666663</v>
      </c>
      <c r="L117" s="4"/>
      <c r="M117" s="4"/>
    </row>
    <row r="118" spans="1:16" x14ac:dyDescent="0.25">
      <c r="A118" s="1" t="s">
        <v>7</v>
      </c>
      <c r="B118" t="s">
        <v>266</v>
      </c>
      <c r="G118" s="1" t="s">
        <v>223</v>
      </c>
      <c r="H118" s="3">
        <v>0.375</v>
      </c>
      <c r="I118" s="3">
        <v>0.5</v>
      </c>
      <c r="J118" s="3">
        <v>0.54166666666666663</v>
      </c>
      <c r="K118" s="3">
        <v>0.79166666666666663</v>
      </c>
      <c r="L118" s="4"/>
      <c r="M118" s="4"/>
    </row>
    <row r="119" spans="1:16" x14ac:dyDescent="0.25">
      <c r="A119" s="1" t="s">
        <v>9</v>
      </c>
      <c r="B119" t="s">
        <v>267</v>
      </c>
      <c r="D119" s="1" t="s">
        <v>11</v>
      </c>
      <c r="E119" t="s">
        <v>267</v>
      </c>
      <c r="G119" s="1" t="s">
        <v>224</v>
      </c>
      <c r="H119" s="3">
        <v>0.375</v>
      </c>
      <c r="I119" s="3">
        <v>0.5</v>
      </c>
      <c r="J119" s="3">
        <v>0.54166666666666663</v>
      </c>
      <c r="K119" s="3">
        <v>0.75</v>
      </c>
      <c r="L119" s="4"/>
      <c r="M119" s="4"/>
    </row>
    <row r="120" spans="1:16" x14ac:dyDescent="0.25">
      <c r="A120" s="1" t="s">
        <v>12</v>
      </c>
      <c r="D120" s="1" t="s">
        <v>13</v>
      </c>
      <c r="E120" s="2">
        <v>42996</v>
      </c>
      <c r="G120" s="1" t="s">
        <v>225</v>
      </c>
      <c r="H120" s="4" t="s">
        <v>25</v>
      </c>
      <c r="I120" s="4" t="s">
        <v>25</v>
      </c>
      <c r="J120" s="4" t="s">
        <v>25</v>
      </c>
      <c r="K120" s="4" t="s">
        <v>25</v>
      </c>
      <c r="L120" s="4" t="s">
        <v>25</v>
      </c>
      <c r="M120" s="4" t="s">
        <v>25</v>
      </c>
    </row>
    <row r="121" spans="1:16" x14ac:dyDescent="0.25">
      <c r="A121" s="1" t="s">
        <v>14</v>
      </c>
      <c r="B121" t="s">
        <v>268</v>
      </c>
      <c r="G121" s="1" t="s">
        <v>226</v>
      </c>
      <c r="H121" s="4" t="s">
        <v>25</v>
      </c>
      <c r="I121" s="4" t="s">
        <v>25</v>
      </c>
      <c r="J121" s="4" t="s">
        <v>25</v>
      </c>
      <c r="K121" s="4" t="s">
        <v>25</v>
      </c>
      <c r="L121" s="4" t="s">
        <v>25</v>
      </c>
      <c r="M121" s="4" t="s">
        <v>25</v>
      </c>
    </row>
    <row r="122" spans="1:16" x14ac:dyDescent="0.25">
      <c r="A122" s="1" t="s">
        <v>16</v>
      </c>
      <c r="B122" t="s">
        <v>17</v>
      </c>
    </row>
    <row r="125" spans="1:16" x14ac:dyDescent="0.25">
      <c r="A125" s="5" t="s">
        <v>26</v>
      </c>
      <c r="B125" s="5" t="s">
        <v>27</v>
      </c>
      <c r="C125" s="5" t="s">
        <v>28</v>
      </c>
      <c r="D125" s="5" t="s">
        <v>29</v>
      </c>
      <c r="E125" s="5" t="s">
        <v>30</v>
      </c>
      <c r="F125" s="5" t="s">
        <v>31</v>
      </c>
      <c r="G125" s="5" t="s">
        <v>32</v>
      </c>
      <c r="H125" s="5" t="s">
        <v>33</v>
      </c>
      <c r="I125" s="5" t="s">
        <v>34</v>
      </c>
      <c r="J125" s="5" t="s">
        <v>35</v>
      </c>
      <c r="K125" s="5" t="s">
        <v>36</v>
      </c>
      <c r="L125" s="5" t="s">
        <v>37</v>
      </c>
      <c r="M125" s="5" t="s">
        <v>38</v>
      </c>
      <c r="N125" s="5" t="s">
        <v>39</v>
      </c>
      <c r="O125" s="5" t="s">
        <v>40</v>
      </c>
      <c r="P125" s="5" t="s">
        <v>41</v>
      </c>
    </row>
    <row r="126" spans="1:16" x14ac:dyDescent="0.25">
      <c r="A126" s="4"/>
      <c r="B126" s="4"/>
      <c r="C126" s="4"/>
      <c r="D126" s="4"/>
      <c r="E126" s="4"/>
      <c r="F126" s="4"/>
      <c r="G126" s="4"/>
      <c r="H126" s="6">
        <v>1.125</v>
      </c>
      <c r="I126" s="6">
        <v>1.125</v>
      </c>
      <c r="J126" s="6">
        <v>1.125</v>
      </c>
      <c r="K126" s="3">
        <v>0</v>
      </c>
      <c r="L126" s="3">
        <v>0</v>
      </c>
      <c r="M126" s="6">
        <v>1.2222222222222221</v>
      </c>
      <c r="N126" s="3">
        <v>0</v>
      </c>
      <c r="O126" s="3">
        <v>0</v>
      </c>
      <c r="P126" s="3">
        <v>0</v>
      </c>
    </row>
    <row r="127" spans="1:16" x14ac:dyDescent="0.25">
      <c r="A127" s="4" t="s">
        <v>227</v>
      </c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</row>
    <row r="128" spans="1:16" x14ac:dyDescent="0.25">
      <c r="A128" s="4" t="s">
        <v>228</v>
      </c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</row>
    <row r="129" spans="1:16" x14ac:dyDescent="0.25">
      <c r="A129" s="4" t="s">
        <v>229</v>
      </c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</row>
    <row r="130" spans="1:16" x14ac:dyDescent="0.25">
      <c r="A130" s="4" t="s">
        <v>230</v>
      </c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</row>
    <row r="131" spans="1:16" x14ac:dyDescent="0.25">
      <c r="A131" s="4" t="s">
        <v>231</v>
      </c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</row>
    <row r="132" spans="1:16" x14ac:dyDescent="0.25">
      <c r="A132" s="4" t="s">
        <v>232</v>
      </c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</row>
    <row r="133" spans="1:16" x14ac:dyDescent="0.25">
      <c r="A133" s="4" t="s">
        <v>233</v>
      </c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3">
        <v>0.30555555555555552</v>
      </c>
      <c r="N133" s="4"/>
      <c r="O133" s="4"/>
      <c r="P133" s="4"/>
    </row>
    <row r="134" spans="1:16" x14ac:dyDescent="0.25">
      <c r="A134" s="4" t="s">
        <v>234</v>
      </c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</row>
    <row r="135" spans="1:16" x14ac:dyDescent="0.25">
      <c r="A135" s="4" t="s">
        <v>235</v>
      </c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</row>
    <row r="136" spans="1:16" x14ac:dyDescent="0.25">
      <c r="A136" s="4" t="s">
        <v>236</v>
      </c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</row>
    <row r="137" spans="1:16" x14ac:dyDescent="0.25">
      <c r="A137" s="4" t="s">
        <v>237</v>
      </c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</row>
    <row r="138" spans="1:16" x14ac:dyDescent="0.25">
      <c r="A138" s="4" t="s">
        <v>238</v>
      </c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</row>
    <row r="139" spans="1:16" x14ac:dyDescent="0.25">
      <c r="A139" s="4" t="s">
        <v>239</v>
      </c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</row>
    <row r="140" spans="1:16" x14ac:dyDescent="0.25">
      <c r="A140" s="4" t="s">
        <v>240</v>
      </c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3">
        <v>0.30555555555555552</v>
      </c>
      <c r="N140" s="4"/>
      <c r="O140" s="4"/>
      <c r="P140" s="4"/>
    </row>
    <row r="141" spans="1:16" x14ac:dyDescent="0.25">
      <c r="A141" s="4" t="s">
        <v>241</v>
      </c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</row>
    <row r="142" spans="1:16" x14ac:dyDescent="0.25">
      <c r="A142" s="4" t="s">
        <v>242</v>
      </c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</row>
    <row r="143" spans="1:16" x14ac:dyDescent="0.25">
      <c r="A143" s="4" t="s">
        <v>243</v>
      </c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</row>
    <row r="144" spans="1:16" x14ac:dyDescent="0.25">
      <c r="A144" s="4" t="s">
        <v>244</v>
      </c>
      <c r="B144" s="4" t="s">
        <v>265</v>
      </c>
      <c r="C144" s="4" t="s">
        <v>265</v>
      </c>
      <c r="D144" s="4" t="s">
        <v>265</v>
      </c>
      <c r="E144" s="4" t="s">
        <v>265</v>
      </c>
      <c r="F144" s="4" t="s">
        <v>265</v>
      </c>
      <c r="G144" s="4" t="s">
        <v>265</v>
      </c>
      <c r="H144" s="4"/>
      <c r="I144" s="4"/>
      <c r="J144" s="4"/>
      <c r="K144" s="4"/>
      <c r="L144" s="4"/>
      <c r="M144" s="4"/>
      <c r="N144" s="4"/>
      <c r="O144" s="4"/>
      <c r="P144" s="4"/>
    </row>
    <row r="145" spans="1:16" x14ac:dyDescent="0.25">
      <c r="A145" s="4" t="s">
        <v>245</v>
      </c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</row>
    <row r="146" spans="1:16" x14ac:dyDescent="0.25">
      <c r="A146" s="4" t="s">
        <v>246</v>
      </c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</row>
    <row r="147" spans="1:16" x14ac:dyDescent="0.25">
      <c r="A147" s="4" t="s">
        <v>247</v>
      </c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3">
        <v>0.30555555555555552</v>
      </c>
      <c r="N147" s="4"/>
      <c r="O147" s="4"/>
      <c r="P147" s="4"/>
    </row>
    <row r="148" spans="1:16" x14ac:dyDescent="0.25">
      <c r="A148" s="4" t="s">
        <v>248</v>
      </c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</row>
    <row r="149" spans="1:16" x14ac:dyDescent="0.25">
      <c r="A149" s="4" t="s">
        <v>249</v>
      </c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</row>
    <row r="150" spans="1:16" x14ac:dyDescent="0.25">
      <c r="A150" s="4" t="s">
        <v>251</v>
      </c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</row>
    <row r="151" spans="1:16" x14ac:dyDescent="0.25">
      <c r="A151" s="4" t="s">
        <v>256</v>
      </c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</row>
    <row r="152" spans="1:16" x14ac:dyDescent="0.25">
      <c r="A152" s="4" t="s">
        <v>259</v>
      </c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</row>
    <row r="153" spans="1:16" x14ac:dyDescent="0.25">
      <c r="A153" s="4" t="s">
        <v>260</v>
      </c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</row>
    <row r="154" spans="1:16" x14ac:dyDescent="0.25">
      <c r="A154" s="4" t="s">
        <v>261</v>
      </c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3">
        <v>0.30555555555555552</v>
      </c>
      <c r="N154" s="4"/>
      <c r="O154" s="4"/>
      <c r="P154" s="4"/>
    </row>
    <row r="155" spans="1:16" x14ac:dyDescent="0.25">
      <c r="A155" s="4" t="s">
        <v>262</v>
      </c>
      <c r="B155" s="4" t="s">
        <v>52</v>
      </c>
      <c r="C155" s="4" t="s">
        <v>52</v>
      </c>
      <c r="D155" s="4" t="s">
        <v>52</v>
      </c>
      <c r="E155" s="4" t="s">
        <v>52</v>
      </c>
      <c r="F155" s="4"/>
      <c r="G155" s="4"/>
      <c r="H155" s="3">
        <v>0.375</v>
      </c>
      <c r="I155" s="3">
        <v>0.375</v>
      </c>
      <c r="J155" s="3">
        <v>0.375</v>
      </c>
      <c r="K155" s="4"/>
      <c r="L155" s="4"/>
      <c r="M155" s="4"/>
      <c r="N155" s="4"/>
      <c r="O155" s="4"/>
      <c r="P155" s="4"/>
    </row>
    <row r="156" spans="1:16" x14ac:dyDescent="0.25">
      <c r="A156" s="4" t="s">
        <v>263</v>
      </c>
      <c r="B156" s="4" t="s">
        <v>52</v>
      </c>
      <c r="C156" s="4" t="s">
        <v>52</v>
      </c>
      <c r="D156" s="4" t="s">
        <v>52</v>
      </c>
      <c r="E156" s="4" t="s">
        <v>52</v>
      </c>
      <c r="F156" s="4"/>
      <c r="G156" s="4"/>
      <c r="H156" s="3">
        <v>0.375</v>
      </c>
      <c r="I156" s="3">
        <v>0.375</v>
      </c>
      <c r="J156" s="3">
        <v>0.375</v>
      </c>
      <c r="K156" s="4"/>
      <c r="L156" s="4"/>
      <c r="M156" s="4"/>
      <c r="N156" s="4"/>
      <c r="O156" s="4"/>
      <c r="P156" s="4"/>
    </row>
    <row r="157" spans="1:16" x14ac:dyDescent="0.25">
      <c r="A157" s="4" t="s">
        <v>264</v>
      </c>
      <c r="B157" s="4" t="s">
        <v>52</v>
      </c>
      <c r="C157" s="4" t="s">
        <v>52</v>
      </c>
      <c r="D157" s="4" t="s">
        <v>52</v>
      </c>
      <c r="E157" s="4" t="s">
        <v>52</v>
      </c>
      <c r="F157" s="4"/>
      <c r="G157" s="4"/>
      <c r="H157" s="3">
        <v>0.375</v>
      </c>
      <c r="I157" s="3">
        <v>0.375</v>
      </c>
      <c r="J157" s="3">
        <v>0.375</v>
      </c>
      <c r="K157" s="4"/>
      <c r="L157" s="4"/>
      <c r="M157" s="4"/>
      <c r="N157" s="4"/>
      <c r="O157" s="4"/>
      <c r="P157" s="4"/>
    </row>
    <row r="159" spans="1:16" x14ac:dyDescent="0.25">
      <c r="A159" s="7" t="s">
        <v>45</v>
      </c>
    </row>
    <row r="162" spans="1:13" x14ac:dyDescent="0.25">
      <c r="A162" s="7" t="s">
        <v>46</v>
      </c>
    </row>
    <row r="163" spans="1:13" x14ac:dyDescent="0.25">
      <c r="A163" s="7" t="s">
        <v>266</v>
      </c>
      <c r="F163" s="7" t="s">
        <v>47</v>
      </c>
    </row>
    <row r="164" spans="1:13" x14ac:dyDescent="0.25">
      <c r="F164" s="7"/>
    </row>
    <row r="168" spans="1:13" x14ac:dyDescent="0.25">
      <c r="G168" s="1" t="s">
        <v>18</v>
      </c>
    </row>
    <row r="169" spans="1:13" x14ac:dyDescent="0.25">
      <c r="A169" s="1" t="s">
        <v>1</v>
      </c>
      <c r="B169" t="s">
        <v>2</v>
      </c>
      <c r="H169" s="1" t="s">
        <v>19</v>
      </c>
      <c r="I169" s="1" t="s">
        <v>20</v>
      </c>
      <c r="J169" s="1" t="s">
        <v>21</v>
      </c>
      <c r="K169" s="1" t="s">
        <v>22</v>
      </c>
      <c r="L169" s="1" t="s">
        <v>23</v>
      </c>
      <c r="M169" s="1" t="s">
        <v>24</v>
      </c>
    </row>
    <row r="170" spans="1:13" x14ac:dyDescent="0.25">
      <c r="A170" s="1" t="s">
        <v>3</v>
      </c>
      <c r="B170" t="s">
        <v>4</v>
      </c>
      <c r="G170" s="1" t="s">
        <v>220</v>
      </c>
      <c r="H170" s="3">
        <v>0.33333333333333331</v>
      </c>
      <c r="I170" s="3">
        <v>0.5</v>
      </c>
      <c r="J170" s="3">
        <v>0.54166666666666663</v>
      </c>
      <c r="K170" s="3">
        <v>0.75</v>
      </c>
      <c r="L170" s="4"/>
      <c r="M170" s="4"/>
    </row>
    <row r="171" spans="1:13" x14ac:dyDescent="0.25">
      <c r="A171" s="1" t="s">
        <v>5</v>
      </c>
      <c r="B171" t="s">
        <v>6</v>
      </c>
      <c r="G171" s="1" t="s">
        <v>221</v>
      </c>
      <c r="H171" s="3">
        <v>0.33333333333333331</v>
      </c>
      <c r="I171" s="3">
        <v>0.5</v>
      </c>
      <c r="J171" s="3">
        <v>0.54166666666666663</v>
      </c>
      <c r="K171" s="3">
        <v>0.75</v>
      </c>
      <c r="L171" s="4"/>
      <c r="M171" s="4"/>
    </row>
    <row r="172" spans="1:13" x14ac:dyDescent="0.25">
      <c r="G172" s="1" t="s">
        <v>222</v>
      </c>
      <c r="H172" s="3">
        <v>0.3125</v>
      </c>
      <c r="I172" s="3">
        <v>0.5</v>
      </c>
      <c r="J172" s="3">
        <v>0.54166666666666663</v>
      </c>
      <c r="K172" s="3">
        <v>0.72916666666666663</v>
      </c>
      <c r="L172" s="4"/>
      <c r="M172" s="4"/>
    </row>
    <row r="173" spans="1:13" x14ac:dyDescent="0.25">
      <c r="A173" s="1" t="s">
        <v>7</v>
      </c>
      <c r="B173" t="s">
        <v>53</v>
      </c>
      <c r="G173" s="1" t="s">
        <v>223</v>
      </c>
      <c r="H173" s="3">
        <v>0.33333333333333331</v>
      </c>
      <c r="I173" s="3">
        <v>0.5</v>
      </c>
      <c r="J173" s="3">
        <v>0.54166666666666663</v>
      </c>
      <c r="K173" s="3">
        <v>0.75</v>
      </c>
      <c r="L173" s="4"/>
      <c r="M173" s="4"/>
    </row>
    <row r="174" spans="1:13" x14ac:dyDescent="0.25">
      <c r="A174" s="1" t="s">
        <v>9</v>
      </c>
      <c r="B174" t="s">
        <v>54</v>
      </c>
      <c r="D174" s="1" t="s">
        <v>11</v>
      </c>
      <c r="E174" t="s">
        <v>54</v>
      </c>
      <c r="G174" s="1" t="s">
        <v>224</v>
      </c>
      <c r="H174" s="3">
        <v>0.33333333333333331</v>
      </c>
      <c r="I174" s="3">
        <v>0.5</v>
      </c>
      <c r="J174" s="3">
        <v>0.54166666666666663</v>
      </c>
      <c r="K174" s="3">
        <v>0.70833333333333337</v>
      </c>
      <c r="L174" s="4"/>
      <c r="M174" s="4"/>
    </row>
    <row r="175" spans="1:13" x14ac:dyDescent="0.25">
      <c r="A175" s="1" t="s">
        <v>12</v>
      </c>
      <c r="D175" s="1" t="s">
        <v>13</v>
      </c>
      <c r="E175" s="2">
        <v>42499</v>
      </c>
      <c r="G175" s="1" t="s">
        <v>225</v>
      </c>
      <c r="H175" s="4" t="s">
        <v>25</v>
      </c>
      <c r="I175" s="4" t="s">
        <v>25</v>
      </c>
      <c r="J175" s="4" t="s">
        <v>25</v>
      </c>
      <c r="K175" s="4" t="s">
        <v>25</v>
      </c>
      <c r="L175" s="4" t="s">
        <v>25</v>
      </c>
      <c r="M175" s="4" t="s">
        <v>25</v>
      </c>
    </row>
    <row r="176" spans="1:13" x14ac:dyDescent="0.25">
      <c r="A176" s="1" t="s">
        <v>14</v>
      </c>
      <c r="B176" t="s">
        <v>50</v>
      </c>
      <c r="G176" s="1" t="s">
        <v>226</v>
      </c>
      <c r="H176" s="4" t="s">
        <v>25</v>
      </c>
      <c r="I176" s="4" t="s">
        <v>25</v>
      </c>
      <c r="J176" s="4" t="s">
        <v>25</v>
      </c>
      <c r="K176" s="4" t="s">
        <v>25</v>
      </c>
      <c r="L176" s="4" t="s">
        <v>25</v>
      </c>
      <c r="M176" s="4" t="s">
        <v>25</v>
      </c>
    </row>
    <row r="177" spans="1:16" x14ac:dyDescent="0.25">
      <c r="A177" s="1" t="s">
        <v>16</v>
      </c>
      <c r="B177" t="s">
        <v>17</v>
      </c>
    </row>
    <row r="180" spans="1:16" x14ac:dyDescent="0.25">
      <c r="A180" s="5" t="s">
        <v>26</v>
      </c>
      <c r="B180" s="5" t="s">
        <v>27</v>
      </c>
      <c r="C180" s="5" t="s">
        <v>28</v>
      </c>
      <c r="D180" s="5" t="s">
        <v>29</v>
      </c>
      <c r="E180" s="5" t="s">
        <v>30</v>
      </c>
      <c r="F180" s="5" t="s">
        <v>31</v>
      </c>
      <c r="G180" s="5" t="s">
        <v>32</v>
      </c>
      <c r="H180" s="5" t="s">
        <v>33</v>
      </c>
      <c r="I180" s="5" t="s">
        <v>34</v>
      </c>
      <c r="J180" s="5" t="s">
        <v>35</v>
      </c>
      <c r="K180" s="5" t="s">
        <v>36</v>
      </c>
      <c r="L180" s="5" t="s">
        <v>37</v>
      </c>
      <c r="M180" s="5" t="s">
        <v>38</v>
      </c>
      <c r="N180" s="5" t="s">
        <v>39</v>
      </c>
      <c r="O180" s="5" t="s">
        <v>40</v>
      </c>
      <c r="P180" s="5" t="s">
        <v>41</v>
      </c>
    </row>
    <row r="181" spans="1:16" x14ac:dyDescent="0.25">
      <c r="A181" s="4"/>
      <c r="B181" s="4"/>
      <c r="C181" s="4"/>
      <c r="D181" s="4"/>
      <c r="E181" s="4"/>
      <c r="F181" s="4"/>
      <c r="G181" s="4"/>
      <c r="H181" s="6">
        <v>8.0833333333333339</v>
      </c>
      <c r="I181" s="6">
        <v>7.9513888888888893</v>
      </c>
      <c r="J181" s="6">
        <v>1.4583333333333333</v>
      </c>
      <c r="K181" s="3">
        <v>0</v>
      </c>
      <c r="L181" s="3">
        <v>0</v>
      </c>
      <c r="M181" s="3">
        <v>0</v>
      </c>
      <c r="N181" s="3">
        <v>0</v>
      </c>
      <c r="O181" s="3">
        <v>0.13194444444444445</v>
      </c>
      <c r="P181" s="3">
        <v>0.21041666666666667</v>
      </c>
    </row>
    <row r="182" spans="1:16" x14ac:dyDescent="0.25">
      <c r="A182" s="4" t="s">
        <v>227</v>
      </c>
      <c r="B182" s="3">
        <v>0.33263888888888887</v>
      </c>
      <c r="C182" s="3">
        <v>0.5180555555555556</v>
      </c>
      <c r="D182" s="3">
        <v>0.55694444444444446</v>
      </c>
      <c r="E182" s="3">
        <v>0.7583333333333333</v>
      </c>
      <c r="F182" s="4"/>
      <c r="G182" s="4"/>
      <c r="H182" s="3">
        <v>0.375</v>
      </c>
      <c r="I182" s="3">
        <v>0.375</v>
      </c>
      <c r="J182" s="4"/>
      <c r="K182" s="4"/>
      <c r="L182" s="4"/>
      <c r="M182" s="4"/>
      <c r="N182" s="4"/>
      <c r="O182" s="4"/>
      <c r="P182" s="3">
        <v>1.1111111111111112E-2</v>
      </c>
    </row>
    <row r="183" spans="1:16" x14ac:dyDescent="0.25">
      <c r="A183" s="4" t="s">
        <v>228</v>
      </c>
      <c r="B183" s="3">
        <v>0.33749999999999997</v>
      </c>
      <c r="C183" s="3">
        <v>0.52152777777777781</v>
      </c>
      <c r="D183" s="3">
        <v>0.55138888888888882</v>
      </c>
      <c r="E183" s="3">
        <v>0.77777777777777779</v>
      </c>
      <c r="F183" s="4"/>
      <c r="G183" s="4"/>
      <c r="H183" s="3">
        <v>0.375</v>
      </c>
      <c r="I183" s="3">
        <v>0.375</v>
      </c>
      <c r="J183" s="4"/>
      <c r="K183" s="4"/>
      <c r="L183" s="4"/>
      <c r="M183" s="4"/>
      <c r="N183" s="4"/>
      <c r="O183" s="4"/>
      <c r="P183" s="3">
        <v>3.5416666666666666E-2</v>
      </c>
    </row>
    <row r="184" spans="1:16" x14ac:dyDescent="0.25">
      <c r="A184" s="4" t="s">
        <v>229</v>
      </c>
      <c r="B184" s="3">
        <v>0.30486111111111108</v>
      </c>
      <c r="C184" s="3">
        <v>0.51944444444444449</v>
      </c>
      <c r="D184" s="3">
        <v>0.55555555555555558</v>
      </c>
      <c r="E184" s="3">
        <v>0.73472222222222217</v>
      </c>
      <c r="F184" s="4"/>
      <c r="G184" s="4"/>
      <c r="H184" s="3">
        <v>0.375</v>
      </c>
      <c r="I184" s="3">
        <v>0.375</v>
      </c>
      <c r="J184" s="4"/>
      <c r="K184" s="4"/>
      <c r="L184" s="4"/>
      <c r="M184" s="4"/>
      <c r="N184" s="4"/>
      <c r="O184" s="4"/>
      <c r="P184" s="3">
        <v>1.8749999999999999E-2</v>
      </c>
    </row>
    <row r="185" spans="1:16" x14ac:dyDescent="0.25">
      <c r="A185" s="4" t="s">
        <v>230</v>
      </c>
      <c r="B185" s="3">
        <v>0.34166666666666662</v>
      </c>
      <c r="C185" s="3">
        <v>0.52986111111111112</v>
      </c>
      <c r="D185" s="3">
        <v>0.5708333333333333</v>
      </c>
      <c r="E185" s="3">
        <v>0.75902777777777775</v>
      </c>
      <c r="F185" s="4"/>
      <c r="G185" s="4"/>
      <c r="H185" s="3">
        <v>0.375</v>
      </c>
      <c r="I185" s="3">
        <v>0.375</v>
      </c>
      <c r="J185" s="4"/>
      <c r="K185" s="4"/>
      <c r="L185" s="4"/>
      <c r="M185" s="4"/>
      <c r="N185" s="4"/>
      <c r="O185" s="4"/>
      <c r="P185" s="4"/>
    </row>
    <row r="186" spans="1:16" x14ac:dyDescent="0.25">
      <c r="A186" s="4" t="s">
        <v>231</v>
      </c>
      <c r="B186" s="3">
        <v>0.33749999999999997</v>
      </c>
      <c r="C186" s="3">
        <v>0.49791666666666662</v>
      </c>
      <c r="D186" s="3">
        <v>0.54652777777777783</v>
      </c>
      <c r="E186" s="3">
        <v>0.73472222222222217</v>
      </c>
      <c r="F186" s="4"/>
      <c r="G186" s="4"/>
      <c r="H186" s="3">
        <v>0.33333333333333331</v>
      </c>
      <c r="I186" s="3">
        <v>0.33333333333333331</v>
      </c>
      <c r="J186" s="4"/>
      <c r="K186" s="4"/>
      <c r="L186" s="4"/>
      <c r="M186" s="4"/>
      <c r="N186" s="4"/>
      <c r="O186" s="4"/>
      <c r="P186" s="3">
        <v>1.7361111111111112E-2</v>
      </c>
    </row>
    <row r="187" spans="1:16" x14ac:dyDescent="0.25">
      <c r="A187" s="4" t="s">
        <v>232</v>
      </c>
      <c r="B187" s="4" t="s">
        <v>25</v>
      </c>
      <c r="C187" s="4" t="s">
        <v>25</v>
      </c>
      <c r="D187" s="4" t="s">
        <v>25</v>
      </c>
      <c r="E187" s="4" t="s">
        <v>25</v>
      </c>
      <c r="F187" s="4"/>
      <c r="G187" s="4"/>
      <c r="H187" s="4"/>
      <c r="I187" s="4"/>
      <c r="J187" s="4"/>
      <c r="K187" s="4"/>
      <c r="L187" s="4"/>
      <c r="M187" s="4"/>
      <c r="N187" s="4"/>
      <c r="O187" s="4"/>
      <c r="P187" s="4"/>
    </row>
    <row r="188" spans="1:16" x14ac:dyDescent="0.25">
      <c r="A188" s="4" t="s">
        <v>233</v>
      </c>
      <c r="B188" s="4" t="s">
        <v>25</v>
      </c>
      <c r="C188" s="4" t="s">
        <v>25</v>
      </c>
      <c r="D188" s="4" t="s">
        <v>25</v>
      </c>
      <c r="E188" s="4" t="s">
        <v>25</v>
      </c>
      <c r="F188" s="4"/>
      <c r="G188" s="4"/>
      <c r="H188" s="4"/>
      <c r="I188" s="4"/>
      <c r="J188" s="4"/>
      <c r="K188" s="4"/>
      <c r="L188" s="4"/>
      <c r="M188" s="4"/>
      <c r="N188" s="4"/>
      <c r="O188" s="4"/>
      <c r="P188" s="4"/>
    </row>
    <row r="189" spans="1:16" x14ac:dyDescent="0.25">
      <c r="A189" s="4" t="s">
        <v>234</v>
      </c>
      <c r="B189" s="3">
        <v>0.3444444444444445</v>
      </c>
      <c r="C189" s="3">
        <v>0.52222222222222225</v>
      </c>
      <c r="D189" s="3">
        <v>0.56319444444444444</v>
      </c>
      <c r="E189" s="3">
        <v>0.76111111111111107</v>
      </c>
      <c r="F189" s="4"/>
      <c r="G189" s="4"/>
      <c r="H189" s="3">
        <v>0.375</v>
      </c>
      <c r="I189" s="3">
        <v>0.375</v>
      </c>
      <c r="J189" s="4"/>
      <c r="K189" s="4"/>
      <c r="L189" s="4"/>
      <c r="M189" s="4"/>
      <c r="N189" s="4"/>
      <c r="O189" s="4"/>
      <c r="P189" s="4"/>
    </row>
    <row r="190" spans="1:16" x14ac:dyDescent="0.25">
      <c r="A190" s="4" t="s">
        <v>235</v>
      </c>
      <c r="B190" s="3">
        <v>0.33680555555555558</v>
      </c>
      <c r="C190" s="3">
        <v>0.50902777777777775</v>
      </c>
      <c r="D190" s="3">
        <v>0.54583333333333328</v>
      </c>
      <c r="E190" s="3">
        <v>0.75763888888888886</v>
      </c>
      <c r="F190" s="4"/>
      <c r="G190" s="4"/>
      <c r="H190" s="3">
        <v>0.375</v>
      </c>
      <c r="I190" s="3">
        <v>0.375</v>
      </c>
      <c r="J190" s="4"/>
      <c r="K190" s="4"/>
      <c r="L190" s="4"/>
      <c r="M190" s="4"/>
      <c r="N190" s="4"/>
      <c r="O190" s="4"/>
      <c r="P190" s="3">
        <v>1.2499999999999999E-2</v>
      </c>
    </row>
    <row r="191" spans="1:16" x14ac:dyDescent="0.25">
      <c r="A191" s="4" t="s">
        <v>236</v>
      </c>
      <c r="B191" s="3">
        <v>0.31388888888888888</v>
      </c>
      <c r="C191" s="3">
        <v>0.52013888888888882</v>
      </c>
      <c r="D191" s="3">
        <v>0.56111111111111112</v>
      </c>
      <c r="E191" s="3">
        <v>0.73125000000000007</v>
      </c>
      <c r="F191" s="4"/>
      <c r="G191" s="4"/>
      <c r="H191" s="3">
        <v>0.375</v>
      </c>
      <c r="I191" s="3">
        <v>0.375</v>
      </c>
      <c r="J191" s="4"/>
      <c r="K191" s="4"/>
      <c r="L191" s="4"/>
      <c r="M191" s="4"/>
      <c r="N191" s="4"/>
      <c r="O191" s="4"/>
      <c r="P191" s="4"/>
    </row>
    <row r="192" spans="1:16" x14ac:dyDescent="0.25">
      <c r="A192" s="4" t="s">
        <v>237</v>
      </c>
      <c r="B192" s="3">
        <v>0.35555555555555557</v>
      </c>
      <c r="C192" s="3">
        <v>0.51666666666666672</v>
      </c>
      <c r="D192" s="3">
        <v>0.54999999999999993</v>
      </c>
      <c r="E192" s="3">
        <v>0.77222222222222225</v>
      </c>
      <c r="F192" s="4"/>
      <c r="G192" s="4"/>
      <c r="H192" s="3">
        <v>0.375</v>
      </c>
      <c r="I192" s="3">
        <v>0.375</v>
      </c>
      <c r="J192" s="4"/>
      <c r="K192" s="4"/>
      <c r="L192" s="4"/>
      <c r="M192" s="4"/>
      <c r="N192" s="4"/>
      <c r="O192" s="4"/>
      <c r="P192" s="3">
        <v>8.3333333333333332E-3</v>
      </c>
    </row>
    <row r="193" spans="1:16" x14ac:dyDescent="0.25">
      <c r="A193" s="4" t="s">
        <v>238</v>
      </c>
      <c r="B193" s="3">
        <v>0.34097222222222223</v>
      </c>
      <c r="C193" s="3">
        <v>0.55694444444444446</v>
      </c>
      <c r="D193" s="3">
        <v>0.60625000000000007</v>
      </c>
      <c r="E193" s="3">
        <v>0.72986111111111107</v>
      </c>
      <c r="F193" s="4"/>
      <c r="G193" s="4"/>
      <c r="H193" s="3">
        <v>0.33333333333333331</v>
      </c>
      <c r="I193" s="3">
        <v>0.33333333333333331</v>
      </c>
      <c r="J193" s="4"/>
      <c r="K193" s="4"/>
      <c r="L193" s="4"/>
      <c r="M193" s="4"/>
      <c r="N193" s="4"/>
      <c r="O193" s="4"/>
      <c r="P193" s="4"/>
    </row>
    <row r="194" spans="1:16" x14ac:dyDescent="0.25">
      <c r="A194" s="4" t="s">
        <v>239</v>
      </c>
      <c r="B194" s="4" t="s">
        <v>25</v>
      </c>
      <c r="C194" s="4" t="s">
        <v>25</v>
      </c>
      <c r="D194" s="4" t="s">
        <v>25</v>
      </c>
      <c r="E194" s="4" t="s">
        <v>25</v>
      </c>
      <c r="F194" s="4"/>
      <c r="G194" s="4"/>
      <c r="H194" s="4"/>
      <c r="I194" s="4"/>
      <c r="J194" s="4"/>
      <c r="K194" s="4"/>
      <c r="L194" s="4"/>
      <c r="M194" s="4"/>
      <c r="N194" s="4"/>
      <c r="O194" s="4"/>
      <c r="P194" s="4"/>
    </row>
    <row r="195" spans="1:16" x14ac:dyDescent="0.25">
      <c r="A195" s="4" t="s">
        <v>240</v>
      </c>
      <c r="B195" s="4" t="s">
        <v>25</v>
      </c>
      <c r="C195" s="4" t="s">
        <v>25</v>
      </c>
      <c r="D195" s="4" t="s">
        <v>25</v>
      </c>
      <c r="E195" s="4" t="s">
        <v>25</v>
      </c>
      <c r="F195" s="4"/>
      <c r="G195" s="4"/>
      <c r="H195" s="4"/>
      <c r="I195" s="4"/>
      <c r="J195" s="4"/>
      <c r="K195" s="4"/>
      <c r="L195" s="4"/>
      <c r="M195" s="4"/>
      <c r="N195" s="4"/>
      <c r="O195" s="4"/>
      <c r="P195" s="4"/>
    </row>
    <row r="196" spans="1:16" x14ac:dyDescent="0.25">
      <c r="A196" s="4" t="s">
        <v>241</v>
      </c>
      <c r="B196" s="3">
        <v>0.33611111111111108</v>
      </c>
      <c r="C196" s="3">
        <v>0.53125</v>
      </c>
      <c r="D196" s="3">
        <v>0.57152777777777775</v>
      </c>
      <c r="E196" s="3">
        <v>0.75486111111111109</v>
      </c>
      <c r="F196" s="4"/>
      <c r="G196" s="4"/>
      <c r="H196" s="3">
        <v>0.375</v>
      </c>
      <c r="I196" s="3">
        <v>0.375</v>
      </c>
      <c r="J196" s="4"/>
      <c r="K196" s="4"/>
      <c r="L196" s="4"/>
      <c r="M196" s="4"/>
      <c r="N196" s="4"/>
      <c r="O196" s="4"/>
      <c r="P196" s="4"/>
    </row>
    <row r="197" spans="1:16" x14ac:dyDescent="0.25">
      <c r="A197" s="4" t="s">
        <v>242</v>
      </c>
      <c r="B197" s="3">
        <v>0.34236111111111112</v>
      </c>
      <c r="C197" s="3">
        <v>0.51388888888888895</v>
      </c>
      <c r="D197" s="3">
        <v>0.55763888888888891</v>
      </c>
      <c r="E197" s="3">
        <v>0.76180555555555562</v>
      </c>
      <c r="F197" s="4"/>
      <c r="G197" s="4"/>
      <c r="H197" s="3">
        <v>0.375</v>
      </c>
      <c r="I197" s="3">
        <v>0.375</v>
      </c>
      <c r="J197" s="4"/>
      <c r="K197" s="4"/>
      <c r="L197" s="4"/>
      <c r="M197" s="4"/>
      <c r="N197" s="4"/>
      <c r="O197" s="4"/>
      <c r="P197" s="4"/>
    </row>
    <row r="198" spans="1:16" x14ac:dyDescent="0.25">
      <c r="A198" s="4" t="s">
        <v>243</v>
      </c>
      <c r="B198" s="3">
        <v>0.3215277777777778</v>
      </c>
      <c r="C198" s="3">
        <v>0.57152777777777775</v>
      </c>
      <c r="D198" s="3">
        <v>0.62013888888888891</v>
      </c>
      <c r="E198" s="3">
        <v>0.75694444444444453</v>
      </c>
      <c r="F198" s="4"/>
      <c r="G198" s="4"/>
      <c r="H198" s="3">
        <v>0.375</v>
      </c>
      <c r="I198" s="3">
        <v>0.375</v>
      </c>
      <c r="J198" s="4"/>
      <c r="K198" s="4"/>
      <c r="L198" s="4"/>
      <c r="M198" s="4"/>
      <c r="N198" s="4"/>
      <c r="O198" s="4"/>
      <c r="P198" s="3">
        <v>1.1805555555555555E-2</v>
      </c>
    </row>
    <row r="199" spans="1:16" x14ac:dyDescent="0.25">
      <c r="A199" s="4" t="s">
        <v>244</v>
      </c>
      <c r="B199" s="4" t="s">
        <v>265</v>
      </c>
      <c r="C199" s="4" t="s">
        <v>265</v>
      </c>
      <c r="D199" s="4" t="s">
        <v>265</v>
      </c>
      <c r="E199" s="4" t="s">
        <v>265</v>
      </c>
      <c r="F199" s="4"/>
      <c r="G199" s="4"/>
      <c r="H199" s="4"/>
      <c r="I199" s="4"/>
      <c r="J199" s="4"/>
      <c r="K199" s="4"/>
      <c r="L199" s="4"/>
      <c r="M199" s="4"/>
      <c r="N199" s="4"/>
      <c r="O199" s="4"/>
      <c r="P199" s="4"/>
    </row>
    <row r="200" spans="1:16" x14ac:dyDescent="0.25">
      <c r="A200" s="4" t="s">
        <v>245</v>
      </c>
      <c r="B200" s="4" t="s">
        <v>52</v>
      </c>
      <c r="C200" s="4" t="s">
        <v>52</v>
      </c>
      <c r="D200" s="4" t="s">
        <v>52</v>
      </c>
      <c r="E200" s="4" t="s">
        <v>52</v>
      </c>
      <c r="F200" s="4"/>
      <c r="G200" s="4"/>
      <c r="H200" s="3">
        <v>0.33333333333333331</v>
      </c>
      <c r="I200" s="3">
        <v>0.33333333333333331</v>
      </c>
      <c r="J200" s="3">
        <v>0.33333333333333331</v>
      </c>
      <c r="K200" s="4"/>
      <c r="L200" s="4"/>
      <c r="M200" s="4"/>
      <c r="N200" s="4"/>
      <c r="O200" s="4"/>
      <c r="P200" s="4"/>
    </row>
    <row r="201" spans="1:16" x14ac:dyDescent="0.25">
      <c r="A201" s="4" t="s">
        <v>246</v>
      </c>
      <c r="B201" s="4" t="s">
        <v>25</v>
      </c>
      <c r="C201" s="4" t="s">
        <v>25</v>
      </c>
      <c r="D201" s="4" t="s">
        <v>25</v>
      </c>
      <c r="E201" s="4" t="s">
        <v>25</v>
      </c>
      <c r="F201" s="4"/>
      <c r="G201" s="4"/>
      <c r="H201" s="4"/>
      <c r="I201" s="4"/>
      <c r="J201" s="4"/>
      <c r="K201" s="4"/>
      <c r="L201" s="4"/>
      <c r="M201" s="4"/>
      <c r="N201" s="4"/>
      <c r="O201" s="4"/>
      <c r="P201" s="4"/>
    </row>
    <row r="202" spans="1:16" x14ac:dyDescent="0.25">
      <c r="A202" s="4" t="s">
        <v>247</v>
      </c>
      <c r="B202" s="4" t="s">
        <v>25</v>
      </c>
      <c r="C202" s="4" t="s">
        <v>25</v>
      </c>
      <c r="D202" s="4" t="s">
        <v>25</v>
      </c>
      <c r="E202" s="4" t="s">
        <v>25</v>
      </c>
      <c r="F202" s="4"/>
      <c r="G202" s="4"/>
      <c r="H202" s="4"/>
      <c r="I202" s="4"/>
      <c r="J202" s="4"/>
      <c r="K202" s="4"/>
      <c r="L202" s="4"/>
      <c r="M202" s="4"/>
      <c r="N202" s="4"/>
      <c r="O202" s="4"/>
      <c r="P202" s="4"/>
    </row>
    <row r="203" spans="1:16" x14ac:dyDescent="0.25">
      <c r="A203" s="4" t="s">
        <v>248</v>
      </c>
      <c r="B203" s="3">
        <v>0.34097222222222223</v>
      </c>
      <c r="C203" s="3">
        <v>0.50624999999999998</v>
      </c>
      <c r="D203" s="3">
        <v>0.54861111111111105</v>
      </c>
      <c r="E203" s="3">
        <v>0.76041666666666663</v>
      </c>
      <c r="F203" s="4"/>
      <c r="G203" s="4"/>
      <c r="H203" s="3">
        <v>0.375</v>
      </c>
      <c r="I203" s="3">
        <v>0.375</v>
      </c>
      <c r="J203" s="4"/>
      <c r="K203" s="4"/>
      <c r="L203" s="4"/>
      <c r="M203" s="4"/>
      <c r="N203" s="4"/>
      <c r="O203" s="4"/>
      <c r="P203" s="4"/>
    </row>
    <row r="204" spans="1:16" x14ac:dyDescent="0.25">
      <c r="A204" s="4" t="s">
        <v>249</v>
      </c>
      <c r="B204" s="3">
        <v>0.32847222222222222</v>
      </c>
      <c r="C204" s="3">
        <v>0.5756944444444444</v>
      </c>
      <c r="D204" s="4" t="s">
        <v>52</v>
      </c>
      <c r="E204" s="4" t="s">
        <v>52</v>
      </c>
      <c r="F204" s="4"/>
      <c r="G204" s="4"/>
      <c r="H204" s="3">
        <v>0.375</v>
      </c>
      <c r="I204" s="3">
        <v>0.375</v>
      </c>
      <c r="J204" s="3">
        <v>0.20833333333333334</v>
      </c>
      <c r="K204" s="4"/>
      <c r="L204" s="4"/>
      <c r="M204" s="4"/>
      <c r="N204" s="4"/>
      <c r="O204" s="4"/>
      <c r="P204" s="3">
        <v>8.0555555555555561E-2</v>
      </c>
    </row>
    <row r="205" spans="1:16" x14ac:dyDescent="0.25">
      <c r="A205" s="4" t="s">
        <v>251</v>
      </c>
      <c r="B205" s="4" t="s">
        <v>52</v>
      </c>
      <c r="C205" s="4" t="s">
        <v>52</v>
      </c>
      <c r="D205" s="4" t="s">
        <v>52</v>
      </c>
      <c r="E205" s="4" t="s">
        <v>52</v>
      </c>
      <c r="F205" s="4"/>
      <c r="G205" s="4"/>
      <c r="H205" s="3">
        <v>0.375</v>
      </c>
      <c r="I205" s="3">
        <v>0.375</v>
      </c>
      <c r="J205" s="3">
        <v>0.375</v>
      </c>
      <c r="K205" s="4"/>
      <c r="L205" s="4"/>
      <c r="M205" s="4"/>
      <c r="N205" s="4"/>
      <c r="O205" s="4"/>
      <c r="P205" s="4"/>
    </row>
    <row r="206" spans="1:16" x14ac:dyDescent="0.25">
      <c r="A206" s="4" t="s">
        <v>256</v>
      </c>
      <c r="B206" s="4" t="s">
        <v>52</v>
      </c>
      <c r="C206" s="4" t="s">
        <v>52</v>
      </c>
      <c r="D206" s="4" t="s">
        <v>52</v>
      </c>
      <c r="E206" s="4" t="s">
        <v>52</v>
      </c>
      <c r="F206" s="4"/>
      <c r="G206" s="4"/>
      <c r="H206" s="3">
        <v>0.375</v>
      </c>
      <c r="I206" s="3">
        <v>0.375</v>
      </c>
      <c r="J206" s="3">
        <v>0.375</v>
      </c>
      <c r="K206" s="4"/>
      <c r="L206" s="4"/>
      <c r="M206" s="4"/>
      <c r="N206" s="4"/>
      <c r="O206" s="4"/>
      <c r="P206" s="4"/>
    </row>
    <row r="207" spans="1:16" x14ac:dyDescent="0.25">
      <c r="A207" s="4" t="s">
        <v>259</v>
      </c>
      <c r="B207" s="3">
        <v>0.56388888888888888</v>
      </c>
      <c r="C207" s="3">
        <v>0.60833333333333328</v>
      </c>
      <c r="D207" s="4" t="s">
        <v>52</v>
      </c>
      <c r="E207" s="4" t="s">
        <v>52</v>
      </c>
      <c r="F207" s="4"/>
      <c r="G207" s="4"/>
      <c r="H207" s="3">
        <v>0.33333333333333331</v>
      </c>
      <c r="I207" s="3">
        <v>0.21111111111111111</v>
      </c>
      <c r="J207" s="3">
        <v>0.16666666666666666</v>
      </c>
      <c r="K207" s="4"/>
      <c r="L207" s="4"/>
      <c r="M207" s="4"/>
      <c r="N207" s="4"/>
      <c r="O207" s="3">
        <v>0.12222222222222223</v>
      </c>
      <c r="P207" s="4"/>
    </row>
    <row r="208" spans="1:16" x14ac:dyDescent="0.25">
      <c r="A208" s="4" t="s">
        <v>260</v>
      </c>
      <c r="B208" s="4" t="s">
        <v>25</v>
      </c>
      <c r="C208" s="4" t="s">
        <v>25</v>
      </c>
      <c r="D208" s="4" t="s">
        <v>25</v>
      </c>
      <c r="E208" s="4" t="s">
        <v>25</v>
      </c>
      <c r="F208" s="4"/>
      <c r="G208" s="4"/>
      <c r="H208" s="4"/>
      <c r="I208" s="4"/>
      <c r="J208" s="4"/>
      <c r="K208" s="4"/>
      <c r="L208" s="4"/>
      <c r="M208" s="4"/>
      <c r="N208" s="4"/>
      <c r="O208" s="4"/>
      <c r="P208" s="4"/>
    </row>
    <row r="209" spans="1:16" x14ac:dyDescent="0.25">
      <c r="A209" s="4" t="s">
        <v>261</v>
      </c>
      <c r="B209" s="4" t="s">
        <v>25</v>
      </c>
      <c r="C209" s="4" t="s">
        <v>25</v>
      </c>
      <c r="D209" s="4" t="s">
        <v>25</v>
      </c>
      <c r="E209" s="4" t="s">
        <v>25</v>
      </c>
      <c r="F209" s="4"/>
      <c r="G209" s="4"/>
      <c r="H209" s="4"/>
      <c r="I209" s="4"/>
      <c r="J209" s="4"/>
      <c r="K209" s="4"/>
      <c r="L209" s="4"/>
      <c r="M209" s="4"/>
      <c r="N209" s="4"/>
      <c r="O209" s="4"/>
      <c r="P209" s="4"/>
    </row>
    <row r="210" spans="1:16" x14ac:dyDescent="0.25">
      <c r="A210" s="4" t="s">
        <v>262</v>
      </c>
      <c r="B210" s="3">
        <v>0.33888888888888885</v>
      </c>
      <c r="C210" s="3">
        <v>0.50694444444444442</v>
      </c>
      <c r="D210" s="3">
        <v>0.54236111111111118</v>
      </c>
      <c r="E210" s="3">
        <v>0.7631944444444444</v>
      </c>
      <c r="F210" s="4"/>
      <c r="G210" s="4"/>
      <c r="H210" s="3">
        <v>0.375</v>
      </c>
      <c r="I210" s="3">
        <v>0.375</v>
      </c>
      <c r="J210" s="4"/>
      <c r="K210" s="4"/>
      <c r="L210" s="4"/>
      <c r="M210" s="4"/>
      <c r="N210" s="4"/>
      <c r="O210" s="4"/>
      <c r="P210" s="3">
        <v>1.4583333333333332E-2</v>
      </c>
    </row>
    <row r="211" spans="1:16" x14ac:dyDescent="0.25">
      <c r="A211" s="4" t="s">
        <v>263</v>
      </c>
      <c r="B211" s="3">
        <v>0.33263888888888887</v>
      </c>
      <c r="C211" s="3">
        <v>0.5083333333333333</v>
      </c>
      <c r="D211" s="3">
        <v>0.55069444444444449</v>
      </c>
      <c r="E211" s="3">
        <v>0.75069444444444444</v>
      </c>
      <c r="F211" s="4"/>
      <c r="G211" s="4"/>
      <c r="H211" s="3">
        <v>0.375</v>
      </c>
      <c r="I211" s="3">
        <v>0.375</v>
      </c>
      <c r="J211" s="4"/>
      <c r="K211" s="4"/>
      <c r="L211" s="4"/>
      <c r="M211" s="4"/>
      <c r="N211" s="4"/>
      <c r="O211" s="4"/>
      <c r="P211" s="4"/>
    </row>
    <row r="212" spans="1:16" x14ac:dyDescent="0.25">
      <c r="A212" s="4" t="s">
        <v>264</v>
      </c>
      <c r="B212" s="3">
        <v>0.32222222222222224</v>
      </c>
      <c r="C212" s="3">
        <v>0.4993055555555555</v>
      </c>
      <c r="D212" s="3">
        <v>0.54097222222222219</v>
      </c>
      <c r="E212" s="3">
        <v>0.72916666666666663</v>
      </c>
      <c r="F212" s="4"/>
      <c r="G212" s="4"/>
      <c r="H212" s="3">
        <v>0.375</v>
      </c>
      <c r="I212" s="3">
        <v>0.36527777777777781</v>
      </c>
      <c r="J212" s="4"/>
      <c r="K212" s="4"/>
      <c r="L212" s="4"/>
      <c r="M212" s="4"/>
      <c r="N212" s="4"/>
      <c r="O212" s="3">
        <v>9.7222222222222224E-3</v>
      </c>
      <c r="P212" s="4"/>
    </row>
    <row r="214" spans="1:16" x14ac:dyDescent="0.25">
      <c r="A214" s="7" t="s">
        <v>45</v>
      </c>
    </row>
    <row r="217" spans="1:16" x14ac:dyDescent="0.25">
      <c r="A217" s="7" t="s">
        <v>46</v>
      </c>
    </row>
    <row r="218" spans="1:16" x14ac:dyDescent="0.25">
      <c r="A218" s="7" t="s">
        <v>53</v>
      </c>
      <c r="F218" s="7" t="s">
        <v>47</v>
      </c>
    </row>
    <row r="219" spans="1:16" x14ac:dyDescent="0.25">
      <c r="F219" s="7"/>
    </row>
    <row r="223" spans="1:16" x14ac:dyDescent="0.25">
      <c r="G223" s="1" t="s">
        <v>18</v>
      </c>
    </row>
    <row r="224" spans="1:16" x14ac:dyDescent="0.25">
      <c r="A224" s="1" t="s">
        <v>1</v>
      </c>
      <c r="B224" t="s">
        <v>2</v>
      </c>
      <c r="H224" s="1" t="s">
        <v>19</v>
      </c>
      <c r="I224" s="1" t="s">
        <v>20</v>
      </c>
      <c r="J224" s="1" t="s">
        <v>21</v>
      </c>
      <c r="K224" s="1" t="s">
        <v>22</v>
      </c>
      <c r="L224" s="1" t="s">
        <v>23</v>
      </c>
      <c r="M224" s="1" t="s">
        <v>24</v>
      </c>
    </row>
    <row r="225" spans="1:16" x14ac:dyDescent="0.25">
      <c r="A225" s="1" t="s">
        <v>3</v>
      </c>
      <c r="B225" t="s">
        <v>4</v>
      </c>
      <c r="G225" s="1" t="s">
        <v>220</v>
      </c>
      <c r="H225" s="3">
        <v>0.54166666666666663</v>
      </c>
      <c r="I225" s="3">
        <v>0.79166666666666663</v>
      </c>
      <c r="J225" s="3">
        <v>0.83333333333333337</v>
      </c>
      <c r="K225" s="3">
        <v>0.91666666666666663</v>
      </c>
      <c r="L225" s="4"/>
      <c r="M225" s="4"/>
    </row>
    <row r="226" spans="1:16" x14ac:dyDescent="0.25">
      <c r="A226" s="1" t="s">
        <v>5</v>
      </c>
      <c r="B226" t="s">
        <v>6</v>
      </c>
      <c r="G226" s="1" t="s">
        <v>221</v>
      </c>
      <c r="H226" s="3">
        <v>0.5</v>
      </c>
      <c r="I226" s="3">
        <v>0.79166666666666663</v>
      </c>
      <c r="J226" s="3">
        <v>0.83333333333333337</v>
      </c>
      <c r="K226" s="3">
        <v>0.91666666666666663</v>
      </c>
      <c r="L226" s="4"/>
      <c r="M226" s="4"/>
    </row>
    <row r="227" spans="1:16" x14ac:dyDescent="0.25">
      <c r="G227" s="1" t="s">
        <v>222</v>
      </c>
      <c r="H227" s="3">
        <v>0.5</v>
      </c>
      <c r="I227" s="3">
        <v>0.79166666666666663</v>
      </c>
      <c r="J227" s="3">
        <v>0.83333333333333337</v>
      </c>
      <c r="K227" s="3">
        <v>0.91666666666666663</v>
      </c>
      <c r="L227" s="4"/>
      <c r="M227" s="4"/>
    </row>
    <row r="228" spans="1:16" x14ac:dyDescent="0.25">
      <c r="A228" s="1" t="s">
        <v>7</v>
      </c>
      <c r="B228" t="s">
        <v>56</v>
      </c>
      <c r="G228" s="1" t="s">
        <v>223</v>
      </c>
      <c r="H228" s="3">
        <v>0.5</v>
      </c>
      <c r="I228" s="3">
        <v>0.79166666666666663</v>
      </c>
      <c r="J228" s="3">
        <v>0.83333333333333337</v>
      </c>
      <c r="K228" s="3">
        <v>0.91666666666666663</v>
      </c>
      <c r="L228" s="4"/>
      <c r="M228" s="4"/>
    </row>
    <row r="229" spans="1:16" x14ac:dyDescent="0.25">
      <c r="A229" s="1" t="s">
        <v>9</v>
      </c>
      <c r="B229" t="s">
        <v>57</v>
      </c>
      <c r="D229" s="1" t="s">
        <v>11</v>
      </c>
      <c r="E229" t="s">
        <v>57</v>
      </c>
      <c r="G229" s="1" t="s">
        <v>224</v>
      </c>
      <c r="H229" s="3">
        <v>0.5</v>
      </c>
      <c r="I229" s="3">
        <v>0.79166666666666663</v>
      </c>
      <c r="J229" s="3">
        <v>0.83333333333333337</v>
      </c>
      <c r="K229" s="3">
        <v>0.91666666666666663</v>
      </c>
      <c r="L229" s="4"/>
      <c r="M229" s="4"/>
    </row>
    <row r="230" spans="1:16" x14ac:dyDescent="0.25">
      <c r="A230" s="1" t="s">
        <v>12</v>
      </c>
      <c r="D230" s="1" t="s">
        <v>13</v>
      </c>
      <c r="E230" s="2">
        <v>42758</v>
      </c>
      <c r="G230" s="1" t="s">
        <v>225</v>
      </c>
      <c r="H230" s="4" t="s">
        <v>25</v>
      </c>
      <c r="I230" s="4" t="s">
        <v>25</v>
      </c>
      <c r="J230" s="4" t="s">
        <v>25</v>
      </c>
      <c r="K230" s="4" t="s">
        <v>25</v>
      </c>
      <c r="L230" s="4" t="s">
        <v>25</v>
      </c>
      <c r="M230" s="4" t="s">
        <v>25</v>
      </c>
    </row>
    <row r="231" spans="1:16" x14ac:dyDescent="0.25">
      <c r="A231" s="1" t="s">
        <v>14</v>
      </c>
      <c r="B231" t="s">
        <v>58</v>
      </c>
      <c r="G231" s="1" t="s">
        <v>226</v>
      </c>
      <c r="H231" s="4" t="s">
        <v>25</v>
      </c>
      <c r="I231" s="4" t="s">
        <v>25</v>
      </c>
      <c r="J231" s="4" t="s">
        <v>25</v>
      </c>
      <c r="K231" s="4" t="s">
        <v>25</v>
      </c>
      <c r="L231" s="4" t="s">
        <v>25</v>
      </c>
      <c r="M231" s="4" t="s">
        <v>25</v>
      </c>
    </row>
    <row r="232" spans="1:16" x14ac:dyDescent="0.25">
      <c r="A232" s="1" t="s">
        <v>16</v>
      </c>
      <c r="B232" t="s">
        <v>17</v>
      </c>
    </row>
    <row r="235" spans="1:16" x14ac:dyDescent="0.25">
      <c r="A235" s="5" t="s">
        <v>26</v>
      </c>
      <c r="B235" s="5" t="s">
        <v>27</v>
      </c>
      <c r="C235" s="5" t="s">
        <v>28</v>
      </c>
      <c r="D235" s="5" t="s">
        <v>29</v>
      </c>
      <c r="E235" s="5" t="s">
        <v>30</v>
      </c>
      <c r="F235" s="5" t="s">
        <v>31</v>
      </c>
      <c r="G235" s="5" t="s">
        <v>32</v>
      </c>
      <c r="H235" s="5" t="s">
        <v>33</v>
      </c>
      <c r="I235" s="5" t="s">
        <v>34</v>
      </c>
      <c r="J235" s="5" t="s">
        <v>35</v>
      </c>
      <c r="K235" s="5" t="s">
        <v>36</v>
      </c>
      <c r="L235" s="5" t="s">
        <v>37</v>
      </c>
      <c r="M235" s="5" t="s">
        <v>38</v>
      </c>
      <c r="N235" s="5" t="s">
        <v>39</v>
      </c>
      <c r="O235" s="5" t="s">
        <v>40</v>
      </c>
      <c r="P235" s="5" t="s">
        <v>41</v>
      </c>
    </row>
    <row r="236" spans="1:16" x14ac:dyDescent="0.25">
      <c r="A236" s="4"/>
      <c r="B236" s="4"/>
      <c r="C236" s="4"/>
      <c r="D236" s="4"/>
      <c r="E236" s="4"/>
      <c r="F236" s="4"/>
      <c r="G236" s="4"/>
      <c r="H236" s="6">
        <v>8.0416666666666661</v>
      </c>
      <c r="I236" s="6">
        <v>7.9770833333333329</v>
      </c>
      <c r="J236" s="6">
        <v>1.5</v>
      </c>
      <c r="K236" s="3">
        <v>0</v>
      </c>
      <c r="L236" s="3">
        <v>0</v>
      </c>
      <c r="M236" s="3">
        <v>0</v>
      </c>
      <c r="N236" s="3">
        <v>5.486111111111111E-2</v>
      </c>
      <c r="O236" s="3">
        <v>6.458333333333334E-2</v>
      </c>
      <c r="P236" s="3">
        <v>4.7222222222222221E-2</v>
      </c>
    </row>
    <row r="237" spans="1:16" x14ac:dyDescent="0.25">
      <c r="A237" s="4" t="s">
        <v>227</v>
      </c>
      <c r="B237" s="3">
        <v>0.53749999999999998</v>
      </c>
      <c r="C237" s="3">
        <v>0.57291666666666663</v>
      </c>
      <c r="D237" s="3">
        <v>0.61319444444444449</v>
      </c>
      <c r="E237" s="3">
        <v>0.92152777777777783</v>
      </c>
      <c r="F237" s="4"/>
      <c r="G237" s="4"/>
      <c r="H237" s="3">
        <v>0.33333333333333331</v>
      </c>
      <c r="I237" s="3">
        <v>0.33333333333333331</v>
      </c>
      <c r="J237" s="4"/>
      <c r="K237" s="4"/>
      <c r="L237" s="4"/>
      <c r="M237" s="4"/>
      <c r="N237" s="3">
        <v>4.8611111111111112E-3</v>
      </c>
      <c r="O237" s="4"/>
      <c r="P237" s="3">
        <v>1.0416666666666666E-2</v>
      </c>
    </row>
    <row r="238" spans="1:16" x14ac:dyDescent="0.25">
      <c r="A238" s="4" t="s">
        <v>228</v>
      </c>
      <c r="B238" s="3">
        <v>0.50416666666666665</v>
      </c>
      <c r="C238" s="3">
        <v>0.81874999999999998</v>
      </c>
      <c r="D238" s="3">
        <v>0.85972222222222217</v>
      </c>
      <c r="E238" s="3">
        <v>0.92361111111111116</v>
      </c>
      <c r="F238" s="4"/>
      <c r="G238" s="4"/>
      <c r="H238" s="3">
        <v>0.375</v>
      </c>
      <c r="I238" s="3">
        <v>0.375</v>
      </c>
      <c r="J238" s="4"/>
      <c r="K238" s="4"/>
      <c r="L238" s="4"/>
      <c r="M238" s="4"/>
      <c r="N238" s="3">
        <v>6.9444444444444441E-3</v>
      </c>
      <c r="O238" s="4"/>
      <c r="P238" s="4"/>
    </row>
    <row r="239" spans="1:16" x14ac:dyDescent="0.25">
      <c r="A239" s="4" t="s">
        <v>229</v>
      </c>
      <c r="B239" s="3">
        <v>0.51458333333333328</v>
      </c>
      <c r="C239" s="3">
        <v>0.55763888888888891</v>
      </c>
      <c r="D239" s="3">
        <v>0.59861111111111109</v>
      </c>
      <c r="E239" s="3">
        <v>0.92222222222222217</v>
      </c>
      <c r="F239" s="4"/>
      <c r="G239" s="4"/>
      <c r="H239" s="3">
        <v>0.375</v>
      </c>
      <c r="I239" s="3">
        <v>0.3666666666666667</v>
      </c>
      <c r="J239" s="4"/>
      <c r="K239" s="4"/>
      <c r="L239" s="4"/>
      <c r="M239" s="4"/>
      <c r="N239" s="3">
        <v>5.5555555555555558E-3</v>
      </c>
      <c r="O239" s="3">
        <v>8.3333333333333332E-3</v>
      </c>
      <c r="P239" s="4"/>
    </row>
    <row r="240" spans="1:16" x14ac:dyDescent="0.25">
      <c r="A240" s="4" t="s">
        <v>230</v>
      </c>
      <c r="B240" s="3">
        <v>0.50555555555555554</v>
      </c>
      <c r="C240" s="3">
        <v>0.56527777777777777</v>
      </c>
      <c r="D240" s="3">
        <v>0.61249999999999993</v>
      </c>
      <c r="E240" s="3">
        <v>0.91666666666666663</v>
      </c>
      <c r="F240" s="4"/>
      <c r="G240" s="4"/>
      <c r="H240" s="3">
        <v>0.375</v>
      </c>
      <c r="I240" s="3">
        <v>0.36388888888888887</v>
      </c>
      <c r="J240" s="4"/>
      <c r="K240" s="4"/>
      <c r="L240" s="4"/>
      <c r="M240" s="4"/>
      <c r="N240" s="4"/>
      <c r="O240" s="3">
        <v>1.1111111111111112E-2</v>
      </c>
      <c r="P240" s="4"/>
    </row>
    <row r="241" spans="1:16" x14ac:dyDescent="0.25">
      <c r="A241" s="4" t="s">
        <v>231</v>
      </c>
      <c r="B241" s="3">
        <v>0.49722222222222223</v>
      </c>
      <c r="C241" s="3">
        <v>0.57152777777777775</v>
      </c>
      <c r="D241" s="3">
        <v>0.61527777777777781</v>
      </c>
      <c r="E241" s="3">
        <v>0.92013888888888884</v>
      </c>
      <c r="F241" s="4"/>
      <c r="G241" s="4"/>
      <c r="H241" s="3">
        <v>0.375</v>
      </c>
      <c r="I241" s="3">
        <v>0.375</v>
      </c>
      <c r="J241" s="4"/>
      <c r="K241" s="4"/>
      <c r="L241" s="4"/>
      <c r="M241" s="4"/>
      <c r="N241" s="4"/>
      <c r="O241" s="4"/>
      <c r="P241" s="4"/>
    </row>
    <row r="242" spans="1:16" x14ac:dyDescent="0.25">
      <c r="A242" s="4" t="s">
        <v>232</v>
      </c>
      <c r="B242" s="4" t="s">
        <v>25</v>
      </c>
      <c r="C242" s="4" t="s">
        <v>25</v>
      </c>
      <c r="D242" s="4" t="s">
        <v>25</v>
      </c>
      <c r="E242" s="4" t="s">
        <v>25</v>
      </c>
      <c r="F242" s="4" t="s">
        <v>25</v>
      </c>
      <c r="G242" s="4" t="s">
        <v>25</v>
      </c>
      <c r="H242" s="4"/>
      <c r="I242" s="4"/>
      <c r="J242" s="4"/>
      <c r="K242" s="4"/>
      <c r="L242" s="4"/>
      <c r="M242" s="4"/>
      <c r="N242" s="4"/>
      <c r="O242" s="4"/>
      <c r="P242" s="4"/>
    </row>
    <row r="243" spans="1:16" x14ac:dyDescent="0.25">
      <c r="A243" s="4" t="s">
        <v>233</v>
      </c>
      <c r="B243" s="4" t="s">
        <v>25</v>
      </c>
      <c r="C243" s="4" t="s">
        <v>25</v>
      </c>
      <c r="D243" s="4" t="s">
        <v>25</v>
      </c>
      <c r="E243" s="4" t="s">
        <v>25</v>
      </c>
      <c r="F243" s="4" t="s">
        <v>25</v>
      </c>
      <c r="G243" s="4" t="s">
        <v>25</v>
      </c>
      <c r="H243" s="4"/>
      <c r="I243" s="4"/>
      <c r="J243" s="4"/>
      <c r="K243" s="4"/>
      <c r="L243" s="4"/>
      <c r="M243" s="4"/>
      <c r="N243" s="4"/>
      <c r="O243" s="4"/>
      <c r="P243" s="4"/>
    </row>
    <row r="244" spans="1:16" x14ac:dyDescent="0.25">
      <c r="A244" s="4" t="s">
        <v>234</v>
      </c>
      <c r="B244" s="3">
        <v>0.53749999999999998</v>
      </c>
      <c r="C244" s="3">
        <v>0.67083333333333339</v>
      </c>
      <c r="D244" s="3">
        <v>0.71111111111111114</v>
      </c>
      <c r="E244" s="3">
        <v>0.92083333333333339</v>
      </c>
      <c r="F244" s="4"/>
      <c r="G244" s="4"/>
      <c r="H244" s="3">
        <v>0.33333333333333331</v>
      </c>
      <c r="I244" s="3">
        <v>0.33333333333333331</v>
      </c>
      <c r="J244" s="4"/>
      <c r="K244" s="4"/>
      <c r="L244" s="4"/>
      <c r="M244" s="4"/>
      <c r="N244" s="3">
        <v>4.1666666666666666E-3</v>
      </c>
      <c r="O244" s="4"/>
      <c r="P244" s="3">
        <v>9.7222222222222224E-3</v>
      </c>
    </row>
    <row r="245" spans="1:16" x14ac:dyDescent="0.25">
      <c r="A245" s="4" t="s">
        <v>235</v>
      </c>
      <c r="B245" s="3">
        <v>0.52083333333333337</v>
      </c>
      <c r="C245" s="3">
        <v>0.85</v>
      </c>
      <c r="D245" s="3">
        <v>0.89236111111111116</v>
      </c>
      <c r="E245" s="3">
        <v>0.91736111111111107</v>
      </c>
      <c r="F245" s="4"/>
      <c r="G245" s="4"/>
      <c r="H245" s="3">
        <v>0.375</v>
      </c>
      <c r="I245" s="3">
        <v>0.35347222222222219</v>
      </c>
      <c r="J245" s="4"/>
      <c r="K245" s="4"/>
      <c r="L245" s="4"/>
      <c r="M245" s="4"/>
      <c r="N245" s="4"/>
      <c r="O245" s="3">
        <v>2.1527777777777781E-2</v>
      </c>
      <c r="P245" s="4"/>
    </row>
    <row r="246" spans="1:16" x14ac:dyDescent="0.25">
      <c r="A246" s="4" t="s">
        <v>236</v>
      </c>
      <c r="B246" s="3">
        <v>0.4993055555555555</v>
      </c>
      <c r="C246" s="3">
        <v>0.62430555555555556</v>
      </c>
      <c r="D246" s="4" t="s">
        <v>269</v>
      </c>
      <c r="E246" s="3">
        <v>0.91875000000000007</v>
      </c>
      <c r="F246" s="4"/>
      <c r="G246" s="4"/>
      <c r="H246" s="3">
        <v>0.375</v>
      </c>
      <c r="I246" s="3">
        <v>0.375</v>
      </c>
      <c r="J246" s="4"/>
      <c r="K246" s="4"/>
      <c r="L246" s="4"/>
      <c r="M246" s="4"/>
      <c r="N246" s="4"/>
      <c r="O246" s="4"/>
      <c r="P246" s="4"/>
    </row>
    <row r="247" spans="1:16" x14ac:dyDescent="0.25">
      <c r="A247" s="4" t="s">
        <v>237</v>
      </c>
      <c r="B247" s="3">
        <v>0.49652777777777773</v>
      </c>
      <c r="C247" s="3">
        <v>0.56805555555555554</v>
      </c>
      <c r="D247" s="3">
        <v>0.60972222222222217</v>
      </c>
      <c r="E247" s="3">
        <v>0.92013888888888884</v>
      </c>
      <c r="F247" s="4"/>
      <c r="G247" s="4"/>
      <c r="H247" s="3">
        <v>0.375</v>
      </c>
      <c r="I247" s="3">
        <v>0.375</v>
      </c>
      <c r="J247" s="4"/>
      <c r="K247" s="4"/>
      <c r="L247" s="4"/>
      <c r="M247" s="4"/>
      <c r="N247" s="4"/>
      <c r="O247" s="4"/>
      <c r="P247" s="4"/>
    </row>
    <row r="248" spans="1:16" x14ac:dyDescent="0.25">
      <c r="A248" s="4" t="s">
        <v>238</v>
      </c>
      <c r="B248" s="3">
        <v>0.50208333333333333</v>
      </c>
      <c r="C248" s="3">
        <v>0.63402777777777775</v>
      </c>
      <c r="D248" s="3">
        <v>0.67499999999999993</v>
      </c>
      <c r="E248" s="3">
        <v>0.92847222222222225</v>
      </c>
      <c r="F248" s="4"/>
      <c r="G248" s="4"/>
      <c r="H248" s="3">
        <v>0.375</v>
      </c>
      <c r="I248" s="3">
        <v>0.375</v>
      </c>
      <c r="J248" s="4"/>
      <c r="K248" s="4"/>
      <c r="L248" s="4"/>
      <c r="M248" s="4"/>
      <c r="N248" s="3">
        <v>1.1805555555555555E-2</v>
      </c>
      <c r="O248" s="4"/>
      <c r="P248" s="3">
        <v>1.2499999999999999E-2</v>
      </c>
    </row>
    <row r="249" spans="1:16" x14ac:dyDescent="0.25">
      <c r="A249" s="4" t="s">
        <v>239</v>
      </c>
      <c r="B249" s="4" t="s">
        <v>25</v>
      </c>
      <c r="C249" s="4" t="s">
        <v>25</v>
      </c>
      <c r="D249" s="4" t="s">
        <v>25</v>
      </c>
      <c r="E249" s="4" t="s">
        <v>25</v>
      </c>
      <c r="F249" s="4" t="s">
        <v>25</v>
      </c>
      <c r="G249" s="4" t="s">
        <v>25</v>
      </c>
      <c r="H249" s="4"/>
      <c r="I249" s="4"/>
      <c r="J249" s="4"/>
      <c r="K249" s="4"/>
      <c r="L249" s="4"/>
      <c r="M249" s="4"/>
      <c r="N249" s="4"/>
      <c r="O249" s="4"/>
      <c r="P249" s="4"/>
    </row>
    <row r="250" spans="1:16" x14ac:dyDescent="0.25">
      <c r="A250" s="4" t="s">
        <v>240</v>
      </c>
      <c r="B250" s="4" t="s">
        <v>25</v>
      </c>
      <c r="C250" s="4" t="s">
        <v>25</v>
      </c>
      <c r="D250" s="4" t="s">
        <v>25</v>
      </c>
      <c r="E250" s="4" t="s">
        <v>25</v>
      </c>
      <c r="F250" s="4" t="s">
        <v>25</v>
      </c>
      <c r="G250" s="4" t="s">
        <v>25</v>
      </c>
      <c r="H250" s="4"/>
      <c r="I250" s="4"/>
      <c r="J250" s="4"/>
      <c r="K250" s="4"/>
      <c r="L250" s="4"/>
      <c r="M250" s="4"/>
      <c r="N250" s="4"/>
      <c r="O250" s="4"/>
      <c r="P250" s="4"/>
    </row>
    <row r="251" spans="1:16" x14ac:dyDescent="0.25">
      <c r="A251" s="4" t="s">
        <v>241</v>
      </c>
      <c r="B251" s="3">
        <v>0.53541666666666665</v>
      </c>
      <c r="C251" s="3">
        <v>0.60763888888888895</v>
      </c>
      <c r="D251" s="3">
        <v>0.64930555555555558</v>
      </c>
      <c r="E251" s="3">
        <v>0.91666666666666663</v>
      </c>
      <c r="F251" s="4"/>
      <c r="G251" s="4"/>
      <c r="H251" s="3">
        <v>0.33333333333333331</v>
      </c>
      <c r="I251" s="3">
        <v>0.33333333333333331</v>
      </c>
      <c r="J251" s="4"/>
      <c r="K251" s="4"/>
      <c r="L251" s="4"/>
      <c r="M251" s="4"/>
      <c r="N251" s="4"/>
      <c r="O251" s="4"/>
      <c r="P251" s="4"/>
    </row>
    <row r="252" spans="1:16" x14ac:dyDescent="0.25">
      <c r="A252" s="4" t="s">
        <v>242</v>
      </c>
      <c r="B252" s="3">
        <v>0.50555555555555554</v>
      </c>
      <c r="C252" s="3">
        <v>0.65347222222222223</v>
      </c>
      <c r="D252" s="3">
        <v>0.69513888888888886</v>
      </c>
      <c r="E252" s="3">
        <v>0.9194444444444444</v>
      </c>
      <c r="F252" s="4"/>
      <c r="G252" s="4"/>
      <c r="H252" s="3">
        <v>0.375</v>
      </c>
      <c r="I252" s="3">
        <v>0.375</v>
      </c>
      <c r="J252" s="4"/>
      <c r="K252" s="4"/>
      <c r="L252" s="4"/>
      <c r="M252" s="4"/>
      <c r="N252" s="4"/>
      <c r="O252" s="4"/>
      <c r="P252" s="4"/>
    </row>
    <row r="253" spans="1:16" x14ac:dyDescent="0.25">
      <c r="A253" s="4" t="s">
        <v>243</v>
      </c>
      <c r="B253" s="3">
        <v>0.49652777777777773</v>
      </c>
      <c r="C253" s="3">
        <v>0.6430555555555556</v>
      </c>
      <c r="D253" s="3">
        <v>0.68611111111111101</v>
      </c>
      <c r="E253" s="3">
        <v>0.93263888888888891</v>
      </c>
      <c r="F253" s="4"/>
      <c r="G253" s="4"/>
      <c r="H253" s="3">
        <v>0.375</v>
      </c>
      <c r="I253" s="3">
        <v>0.375</v>
      </c>
      <c r="J253" s="4"/>
      <c r="K253" s="4"/>
      <c r="L253" s="4"/>
      <c r="M253" s="4"/>
      <c r="N253" s="3">
        <v>1.5972222222222224E-2</v>
      </c>
      <c r="O253" s="4"/>
      <c r="P253" s="3">
        <v>1.4583333333333332E-2</v>
      </c>
    </row>
    <row r="254" spans="1:16" x14ac:dyDescent="0.25">
      <c r="A254" s="4" t="s">
        <v>244</v>
      </c>
      <c r="B254" s="4" t="s">
        <v>265</v>
      </c>
      <c r="C254" s="4" t="s">
        <v>265</v>
      </c>
      <c r="D254" s="4" t="s">
        <v>265</v>
      </c>
      <c r="E254" s="4" t="s">
        <v>265</v>
      </c>
      <c r="F254" s="4"/>
      <c r="G254" s="4"/>
      <c r="H254" s="4"/>
      <c r="I254" s="4"/>
      <c r="J254" s="4"/>
      <c r="K254" s="4"/>
      <c r="L254" s="4"/>
      <c r="M254" s="4"/>
      <c r="N254" s="4"/>
      <c r="O254" s="4"/>
      <c r="P254" s="4"/>
    </row>
    <row r="255" spans="1:16" x14ac:dyDescent="0.25">
      <c r="A255" s="4" t="s">
        <v>245</v>
      </c>
      <c r="B255" s="4" t="s">
        <v>265</v>
      </c>
      <c r="C255" s="4" t="s">
        <v>265</v>
      </c>
      <c r="D255" s="4" t="s">
        <v>265</v>
      </c>
      <c r="E255" s="4" t="s">
        <v>265</v>
      </c>
      <c r="F255" s="4"/>
      <c r="G255" s="4"/>
      <c r="H255" s="3">
        <v>0.375</v>
      </c>
      <c r="I255" s="3">
        <v>0.375</v>
      </c>
      <c r="J255" s="3">
        <v>0.375</v>
      </c>
      <c r="K255" s="4"/>
      <c r="L255" s="4"/>
      <c r="M255" s="4"/>
      <c r="N255" s="4"/>
      <c r="O255" s="4"/>
      <c r="P255" s="4"/>
    </row>
    <row r="256" spans="1:16" x14ac:dyDescent="0.25">
      <c r="A256" s="4" t="s">
        <v>246</v>
      </c>
      <c r="B256" s="4" t="s">
        <v>25</v>
      </c>
      <c r="C256" s="4" t="s">
        <v>25</v>
      </c>
      <c r="D256" s="4" t="s">
        <v>25</v>
      </c>
      <c r="E256" s="4" t="s">
        <v>25</v>
      </c>
      <c r="F256" s="4" t="s">
        <v>25</v>
      </c>
      <c r="G256" s="4" t="s">
        <v>25</v>
      </c>
      <c r="H256" s="4"/>
      <c r="I256" s="4"/>
      <c r="J256" s="4"/>
      <c r="K256" s="4"/>
      <c r="L256" s="4"/>
      <c r="M256" s="4"/>
      <c r="N256" s="4"/>
      <c r="O256" s="4"/>
      <c r="P256" s="4"/>
    </row>
    <row r="257" spans="1:16" x14ac:dyDescent="0.25">
      <c r="A257" s="4" t="s">
        <v>247</v>
      </c>
      <c r="B257" s="4" t="s">
        <v>25</v>
      </c>
      <c r="C257" s="4" t="s">
        <v>25</v>
      </c>
      <c r="D257" s="4" t="s">
        <v>25</v>
      </c>
      <c r="E257" s="4" t="s">
        <v>25</v>
      </c>
      <c r="F257" s="4" t="s">
        <v>25</v>
      </c>
      <c r="G257" s="4" t="s">
        <v>25</v>
      </c>
      <c r="H257" s="4"/>
      <c r="I257" s="4"/>
      <c r="J257" s="4"/>
      <c r="K257" s="4"/>
      <c r="L257" s="4"/>
      <c r="M257" s="4"/>
      <c r="N257" s="4"/>
      <c r="O257" s="4"/>
      <c r="P257" s="4"/>
    </row>
    <row r="258" spans="1:16" x14ac:dyDescent="0.25">
      <c r="A258" s="4" t="s">
        <v>248</v>
      </c>
      <c r="B258" s="3">
        <v>0.55486111111111114</v>
      </c>
      <c r="C258" s="3">
        <v>0.6791666666666667</v>
      </c>
      <c r="D258" s="3">
        <v>0.71944444444444444</v>
      </c>
      <c r="E258" s="3">
        <v>0.92222222222222217</v>
      </c>
      <c r="F258" s="4"/>
      <c r="G258" s="4"/>
      <c r="H258" s="3">
        <v>0.33333333333333331</v>
      </c>
      <c r="I258" s="3">
        <v>0.33333333333333331</v>
      </c>
      <c r="J258" s="4"/>
      <c r="K258" s="4"/>
      <c r="L258" s="4"/>
      <c r="M258" s="4"/>
      <c r="N258" s="3">
        <v>5.5555555555555558E-3</v>
      </c>
      <c r="O258" s="4"/>
      <c r="P258" s="4"/>
    </row>
    <row r="259" spans="1:16" x14ac:dyDescent="0.25">
      <c r="A259" s="4" t="s">
        <v>249</v>
      </c>
      <c r="B259" s="4" t="s">
        <v>52</v>
      </c>
      <c r="C259" s="4" t="s">
        <v>52</v>
      </c>
      <c r="D259" s="4" t="s">
        <v>52</v>
      </c>
      <c r="E259" s="4" t="s">
        <v>52</v>
      </c>
      <c r="F259" s="4"/>
      <c r="G259" s="4"/>
      <c r="H259" s="3">
        <v>0.375</v>
      </c>
      <c r="I259" s="3">
        <v>0.375</v>
      </c>
      <c r="J259" s="3">
        <v>0.375</v>
      </c>
      <c r="K259" s="4"/>
      <c r="L259" s="4"/>
      <c r="M259" s="4"/>
      <c r="N259" s="4"/>
      <c r="O259" s="4"/>
      <c r="P259" s="4"/>
    </row>
    <row r="260" spans="1:16" x14ac:dyDescent="0.25">
      <c r="A260" s="4" t="s">
        <v>251</v>
      </c>
      <c r="B260" s="4" t="s">
        <v>52</v>
      </c>
      <c r="C260" s="4" t="s">
        <v>52</v>
      </c>
      <c r="D260" s="4" t="s">
        <v>52</v>
      </c>
      <c r="E260" s="4" t="s">
        <v>52</v>
      </c>
      <c r="F260" s="4"/>
      <c r="G260" s="4"/>
      <c r="H260" s="3">
        <v>0.375</v>
      </c>
      <c r="I260" s="3">
        <v>0.375</v>
      </c>
      <c r="J260" s="3">
        <v>0.375</v>
      </c>
      <c r="K260" s="4"/>
      <c r="L260" s="4"/>
      <c r="M260" s="4"/>
      <c r="N260" s="4"/>
      <c r="O260" s="4"/>
      <c r="P260" s="4"/>
    </row>
    <row r="261" spans="1:16" x14ac:dyDescent="0.25">
      <c r="A261" s="4" t="s">
        <v>256</v>
      </c>
      <c r="B261" s="4" t="s">
        <v>52</v>
      </c>
      <c r="C261" s="4" t="s">
        <v>52</v>
      </c>
      <c r="D261" s="4" t="s">
        <v>52</v>
      </c>
      <c r="E261" s="4" t="s">
        <v>52</v>
      </c>
      <c r="F261" s="4"/>
      <c r="G261" s="4"/>
      <c r="H261" s="3">
        <v>0.375</v>
      </c>
      <c r="I261" s="3">
        <v>0.375</v>
      </c>
      <c r="J261" s="3">
        <v>0.375</v>
      </c>
      <c r="K261" s="4"/>
      <c r="L261" s="4"/>
      <c r="M261" s="4"/>
      <c r="N261" s="4"/>
      <c r="O261" s="4"/>
      <c r="P261" s="4"/>
    </row>
    <row r="262" spans="1:16" x14ac:dyDescent="0.25">
      <c r="A262" s="4" t="s">
        <v>259</v>
      </c>
      <c r="B262" s="3">
        <v>0.51180555555555551</v>
      </c>
      <c r="C262" s="3">
        <v>0.62777777777777777</v>
      </c>
      <c r="D262" s="3">
        <v>0.67013888888888884</v>
      </c>
      <c r="E262" s="3">
        <v>0.9194444444444444</v>
      </c>
      <c r="F262" s="4"/>
      <c r="G262" s="4"/>
      <c r="H262" s="3">
        <v>0.375</v>
      </c>
      <c r="I262" s="3">
        <v>0.36249999999999999</v>
      </c>
      <c r="J262" s="4"/>
      <c r="K262" s="4"/>
      <c r="L262" s="4"/>
      <c r="M262" s="4"/>
      <c r="N262" s="4"/>
      <c r="O262" s="3">
        <v>1.2499999999999999E-2</v>
      </c>
      <c r="P262" s="4"/>
    </row>
    <row r="263" spans="1:16" x14ac:dyDescent="0.25">
      <c r="A263" s="4" t="s">
        <v>260</v>
      </c>
      <c r="B263" s="4" t="s">
        <v>25</v>
      </c>
      <c r="C263" s="4" t="s">
        <v>25</v>
      </c>
      <c r="D263" s="4" t="s">
        <v>25</v>
      </c>
      <c r="E263" s="4" t="s">
        <v>25</v>
      </c>
      <c r="F263" s="4" t="s">
        <v>25</v>
      </c>
      <c r="G263" s="4" t="s">
        <v>25</v>
      </c>
      <c r="H263" s="4"/>
      <c r="I263" s="4"/>
      <c r="J263" s="4"/>
      <c r="K263" s="4"/>
      <c r="L263" s="4"/>
      <c r="M263" s="4"/>
      <c r="N263" s="4"/>
      <c r="O263" s="4"/>
      <c r="P263" s="4"/>
    </row>
    <row r="264" spans="1:16" x14ac:dyDescent="0.25">
      <c r="A264" s="4" t="s">
        <v>261</v>
      </c>
      <c r="B264" s="4" t="s">
        <v>25</v>
      </c>
      <c r="C264" s="4" t="s">
        <v>25</v>
      </c>
      <c r="D264" s="4" t="s">
        <v>25</v>
      </c>
      <c r="E264" s="4" t="s">
        <v>25</v>
      </c>
      <c r="F264" s="4" t="s">
        <v>25</v>
      </c>
      <c r="G264" s="4" t="s">
        <v>25</v>
      </c>
      <c r="H264" s="4"/>
      <c r="I264" s="4"/>
      <c r="J264" s="4"/>
      <c r="K264" s="4"/>
      <c r="L264" s="4"/>
      <c r="M264" s="4"/>
      <c r="N264" s="4"/>
      <c r="O264" s="4"/>
      <c r="P264" s="4"/>
    </row>
    <row r="265" spans="1:16" x14ac:dyDescent="0.25">
      <c r="A265" s="4" t="s">
        <v>262</v>
      </c>
      <c r="B265" s="3">
        <v>0.5541666666666667</v>
      </c>
      <c r="C265" s="3">
        <v>0.62708333333333333</v>
      </c>
      <c r="D265" s="3">
        <v>0.66736111111111107</v>
      </c>
      <c r="E265" s="3">
        <v>0.91805555555555562</v>
      </c>
      <c r="F265" s="4"/>
      <c r="G265" s="4"/>
      <c r="H265" s="3">
        <v>0.33333333333333331</v>
      </c>
      <c r="I265" s="3">
        <v>0.32222222222222224</v>
      </c>
      <c r="J265" s="4"/>
      <c r="K265" s="4"/>
      <c r="L265" s="4"/>
      <c r="M265" s="4"/>
      <c r="N265" s="4"/>
      <c r="O265" s="3">
        <v>1.1111111111111112E-2</v>
      </c>
      <c r="P265" s="4"/>
    </row>
    <row r="266" spans="1:16" x14ac:dyDescent="0.25">
      <c r="A266" s="4" t="s">
        <v>263</v>
      </c>
      <c r="B266" s="3">
        <v>0.49791666666666662</v>
      </c>
      <c r="C266" s="3">
        <v>0.5708333333333333</v>
      </c>
      <c r="D266" s="3">
        <v>0.6118055555555556</v>
      </c>
      <c r="E266" s="3">
        <v>0.91736111111111107</v>
      </c>
      <c r="F266" s="4"/>
      <c r="G266" s="4"/>
      <c r="H266" s="3">
        <v>0.375</v>
      </c>
      <c r="I266" s="3">
        <v>0.375</v>
      </c>
      <c r="J266" s="4"/>
      <c r="K266" s="4"/>
      <c r="L266" s="4"/>
      <c r="M266" s="4"/>
      <c r="N266" s="4"/>
      <c r="O266" s="4"/>
      <c r="P266" s="4"/>
    </row>
    <row r="267" spans="1:16" x14ac:dyDescent="0.25">
      <c r="A267" s="4" t="s">
        <v>264</v>
      </c>
      <c r="B267" s="3">
        <v>0.49791666666666662</v>
      </c>
      <c r="C267" s="3">
        <v>0.58750000000000002</v>
      </c>
      <c r="D267" s="3">
        <v>0.62916666666666665</v>
      </c>
      <c r="E267" s="3">
        <v>0.91736111111111107</v>
      </c>
      <c r="F267" s="4"/>
      <c r="G267" s="4"/>
      <c r="H267" s="3">
        <v>0.375</v>
      </c>
      <c r="I267" s="3">
        <v>0.375</v>
      </c>
      <c r="J267" s="4"/>
      <c r="K267" s="4"/>
      <c r="L267" s="4"/>
      <c r="M267" s="4"/>
      <c r="N267" s="4"/>
      <c r="O267" s="4"/>
      <c r="P267" s="4"/>
    </row>
    <row r="269" spans="1:16" x14ac:dyDescent="0.25">
      <c r="A269" s="7" t="s">
        <v>45</v>
      </c>
    </row>
    <row r="272" spans="1:16" x14ac:dyDescent="0.25">
      <c r="A272" s="7" t="s">
        <v>46</v>
      </c>
    </row>
    <row r="273" spans="1:13" x14ac:dyDescent="0.25">
      <c r="A273" s="7" t="s">
        <v>56</v>
      </c>
      <c r="F273" s="7" t="s">
        <v>47</v>
      </c>
    </row>
    <row r="274" spans="1:13" x14ac:dyDescent="0.25">
      <c r="F274" s="7"/>
    </row>
    <row r="278" spans="1:13" x14ac:dyDescent="0.25">
      <c r="G278" s="1" t="s">
        <v>18</v>
      </c>
    </row>
    <row r="279" spans="1:13" x14ac:dyDescent="0.25">
      <c r="A279" s="1" t="s">
        <v>1</v>
      </c>
      <c r="B279" t="s">
        <v>2</v>
      </c>
      <c r="H279" s="1" t="s">
        <v>19</v>
      </c>
      <c r="I279" s="1" t="s">
        <v>20</v>
      </c>
      <c r="J279" s="1" t="s">
        <v>21</v>
      </c>
      <c r="K279" s="1" t="s">
        <v>22</v>
      </c>
      <c r="L279" s="1" t="s">
        <v>23</v>
      </c>
      <c r="M279" s="1" t="s">
        <v>24</v>
      </c>
    </row>
    <row r="280" spans="1:13" x14ac:dyDescent="0.25">
      <c r="A280" s="1" t="s">
        <v>3</v>
      </c>
      <c r="B280" t="s">
        <v>4</v>
      </c>
      <c r="G280" s="1" t="s">
        <v>220</v>
      </c>
      <c r="H280" s="3">
        <v>0.54166666666666663</v>
      </c>
      <c r="I280" s="3">
        <v>0.79166666666666663</v>
      </c>
      <c r="J280" s="3">
        <v>0.83333333333333337</v>
      </c>
      <c r="K280" s="3">
        <v>0.91666666666666663</v>
      </c>
      <c r="L280" s="4"/>
      <c r="M280" s="4"/>
    </row>
    <row r="281" spans="1:13" x14ac:dyDescent="0.25">
      <c r="A281" s="1" t="s">
        <v>5</v>
      </c>
      <c r="B281" t="s">
        <v>6</v>
      </c>
      <c r="G281" s="1" t="s">
        <v>221</v>
      </c>
      <c r="H281" s="3">
        <v>0.5</v>
      </c>
      <c r="I281" s="3">
        <v>0.79166666666666663</v>
      </c>
      <c r="J281" s="3">
        <v>0.83333333333333337</v>
      </c>
      <c r="K281" s="3">
        <v>0.91666666666666663</v>
      </c>
      <c r="L281" s="4"/>
      <c r="M281" s="4"/>
    </row>
    <row r="282" spans="1:13" x14ac:dyDescent="0.25">
      <c r="G282" s="1" t="s">
        <v>222</v>
      </c>
      <c r="H282" s="3">
        <v>0.5</v>
      </c>
      <c r="I282" s="3">
        <v>0.79166666666666663</v>
      </c>
      <c r="J282" s="3">
        <v>0.83333333333333337</v>
      </c>
      <c r="K282" s="3">
        <v>0.91666666666666663</v>
      </c>
      <c r="L282" s="4"/>
      <c r="M282" s="4"/>
    </row>
    <row r="283" spans="1:13" x14ac:dyDescent="0.25">
      <c r="A283" s="1" t="s">
        <v>7</v>
      </c>
      <c r="B283" t="s">
        <v>60</v>
      </c>
      <c r="G283" s="1" t="s">
        <v>223</v>
      </c>
      <c r="H283" s="3">
        <v>0.5</v>
      </c>
      <c r="I283" s="3">
        <v>0.79166666666666663</v>
      </c>
      <c r="J283" s="3">
        <v>0.83333333333333337</v>
      </c>
      <c r="K283" s="3">
        <v>0.91666666666666663</v>
      </c>
      <c r="L283" s="4"/>
      <c r="M283" s="4"/>
    </row>
    <row r="284" spans="1:13" x14ac:dyDescent="0.25">
      <c r="A284" s="1" t="s">
        <v>9</v>
      </c>
      <c r="B284" t="s">
        <v>61</v>
      </c>
      <c r="D284" s="1" t="s">
        <v>11</v>
      </c>
      <c r="E284" t="s">
        <v>61</v>
      </c>
      <c r="G284" s="1" t="s">
        <v>224</v>
      </c>
      <c r="H284" s="3">
        <v>0.5</v>
      </c>
      <c r="I284" s="3">
        <v>0.79166666666666663</v>
      </c>
      <c r="J284" s="3">
        <v>0.83333333333333337</v>
      </c>
      <c r="K284" s="3">
        <v>0.91666666666666663</v>
      </c>
      <c r="L284" s="4"/>
      <c r="M284" s="4"/>
    </row>
    <row r="285" spans="1:13" x14ac:dyDescent="0.25">
      <c r="A285" s="1" t="s">
        <v>12</v>
      </c>
      <c r="D285" s="1" t="s">
        <v>13</v>
      </c>
      <c r="E285" s="2">
        <v>42506</v>
      </c>
      <c r="G285" s="1" t="s">
        <v>225</v>
      </c>
      <c r="H285" s="4" t="s">
        <v>25</v>
      </c>
      <c r="I285" s="4" t="s">
        <v>25</v>
      </c>
      <c r="J285" s="4" t="s">
        <v>25</v>
      </c>
      <c r="K285" s="4" t="s">
        <v>25</v>
      </c>
      <c r="L285" s="4" t="s">
        <v>25</v>
      </c>
      <c r="M285" s="4" t="s">
        <v>25</v>
      </c>
    </row>
    <row r="286" spans="1:13" x14ac:dyDescent="0.25">
      <c r="A286" s="1" t="s">
        <v>14</v>
      </c>
      <c r="B286" t="s">
        <v>58</v>
      </c>
      <c r="G286" s="1" t="s">
        <v>226</v>
      </c>
      <c r="H286" s="4" t="s">
        <v>25</v>
      </c>
      <c r="I286" s="4" t="s">
        <v>25</v>
      </c>
      <c r="J286" s="4" t="s">
        <v>25</v>
      </c>
      <c r="K286" s="4" t="s">
        <v>25</v>
      </c>
      <c r="L286" s="4" t="s">
        <v>25</v>
      </c>
      <c r="M286" s="4" t="s">
        <v>25</v>
      </c>
    </row>
    <row r="287" spans="1:13" x14ac:dyDescent="0.25">
      <c r="A287" s="1" t="s">
        <v>16</v>
      </c>
      <c r="B287" t="s">
        <v>17</v>
      </c>
    </row>
    <row r="290" spans="1:16" x14ac:dyDescent="0.25">
      <c r="A290" s="5" t="s">
        <v>26</v>
      </c>
      <c r="B290" s="5" t="s">
        <v>27</v>
      </c>
      <c r="C290" s="5" t="s">
        <v>28</v>
      </c>
      <c r="D290" s="5" t="s">
        <v>29</v>
      </c>
      <c r="E290" s="5" t="s">
        <v>30</v>
      </c>
      <c r="F290" s="5" t="s">
        <v>31</v>
      </c>
      <c r="G290" s="5" t="s">
        <v>32</v>
      </c>
      <c r="H290" s="5" t="s">
        <v>33</v>
      </c>
      <c r="I290" s="5" t="s">
        <v>34</v>
      </c>
      <c r="J290" s="5" t="s">
        <v>35</v>
      </c>
      <c r="K290" s="5" t="s">
        <v>36</v>
      </c>
      <c r="L290" s="5" t="s">
        <v>37</v>
      </c>
      <c r="M290" s="5" t="s">
        <v>38</v>
      </c>
      <c r="N290" s="5" t="s">
        <v>39</v>
      </c>
      <c r="O290" s="5" t="s">
        <v>40</v>
      </c>
      <c r="P290" s="5" t="s">
        <v>41</v>
      </c>
    </row>
    <row r="291" spans="1:16" x14ac:dyDescent="0.25">
      <c r="A291" s="4"/>
      <c r="B291" s="4"/>
      <c r="C291" s="4"/>
      <c r="D291" s="4"/>
      <c r="E291" s="4"/>
      <c r="F291" s="4"/>
      <c r="G291" s="4"/>
      <c r="H291" s="6">
        <v>8.0416666666666661</v>
      </c>
      <c r="I291" s="6">
        <v>7.9805555555555552</v>
      </c>
      <c r="J291" s="6">
        <v>1.0590277777777779</v>
      </c>
      <c r="K291" s="3">
        <v>0</v>
      </c>
      <c r="L291" s="3">
        <v>0</v>
      </c>
      <c r="M291" s="3">
        <v>0</v>
      </c>
      <c r="N291" s="3">
        <v>0.12916666666666668</v>
      </c>
      <c r="O291" s="3">
        <v>6.1111111111111116E-2</v>
      </c>
      <c r="P291" s="3">
        <v>0.41597222222222219</v>
      </c>
    </row>
    <row r="292" spans="1:16" x14ac:dyDescent="0.25">
      <c r="A292" s="4" t="s">
        <v>227</v>
      </c>
      <c r="B292" s="3">
        <v>0.54236111111111118</v>
      </c>
      <c r="C292" s="3">
        <v>0.57291666666666663</v>
      </c>
      <c r="D292" s="3">
        <v>0.61319444444444449</v>
      </c>
      <c r="E292" s="3">
        <v>0.91805555555555562</v>
      </c>
      <c r="F292" s="4"/>
      <c r="G292" s="4"/>
      <c r="H292" s="3">
        <v>0.33333333333333331</v>
      </c>
      <c r="I292" s="3">
        <v>0.33333333333333331</v>
      </c>
      <c r="J292" s="4"/>
      <c r="K292" s="4"/>
      <c r="L292" s="4"/>
      <c r="M292" s="4"/>
      <c r="N292" s="4"/>
      <c r="O292" s="4"/>
      <c r="P292" s="4"/>
    </row>
    <row r="293" spans="1:16" x14ac:dyDescent="0.25">
      <c r="A293" s="4" t="s">
        <v>228</v>
      </c>
      <c r="B293" s="3">
        <v>0.55138888888888882</v>
      </c>
      <c r="C293" s="3">
        <v>0.62569444444444444</v>
      </c>
      <c r="D293" s="3">
        <v>0.66597222222222219</v>
      </c>
      <c r="E293" s="3">
        <v>0.92499999999999993</v>
      </c>
      <c r="F293" s="4"/>
      <c r="G293" s="4"/>
      <c r="H293" s="3">
        <v>0.375</v>
      </c>
      <c r="I293" s="3">
        <v>0.33333333333333331</v>
      </c>
      <c r="J293" s="4"/>
      <c r="K293" s="4"/>
      <c r="L293" s="4"/>
      <c r="M293" s="4"/>
      <c r="N293" s="3">
        <v>8.3333333333333332E-3</v>
      </c>
      <c r="O293" s="3">
        <v>4.1666666666666664E-2</v>
      </c>
      <c r="P293" s="4"/>
    </row>
    <row r="294" spans="1:16" x14ac:dyDescent="0.25">
      <c r="A294" s="4" t="s">
        <v>229</v>
      </c>
      <c r="B294" s="3">
        <v>0.50972222222222219</v>
      </c>
      <c r="C294" s="3">
        <v>0.62916666666666665</v>
      </c>
      <c r="D294" s="3">
        <v>0.67083333333333339</v>
      </c>
      <c r="E294" s="3">
        <v>0.91875000000000007</v>
      </c>
      <c r="F294" s="4"/>
      <c r="G294" s="4"/>
      <c r="H294" s="3">
        <v>0.375</v>
      </c>
      <c r="I294" s="3">
        <v>0.36527777777777781</v>
      </c>
      <c r="J294" s="4"/>
      <c r="K294" s="4"/>
      <c r="L294" s="4"/>
      <c r="M294" s="4"/>
      <c r="N294" s="4"/>
      <c r="O294" s="3">
        <v>9.7222222222222224E-3</v>
      </c>
      <c r="P294" s="4"/>
    </row>
    <row r="295" spans="1:16" x14ac:dyDescent="0.25">
      <c r="A295" s="4" t="s">
        <v>230</v>
      </c>
      <c r="B295" s="3">
        <v>0.49236111111111108</v>
      </c>
      <c r="C295" s="3">
        <v>0.56597222222222221</v>
      </c>
      <c r="D295" s="3">
        <v>0.61249999999999993</v>
      </c>
      <c r="E295" s="3">
        <v>0.92638888888888893</v>
      </c>
      <c r="F295" s="4"/>
      <c r="G295" s="4"/>
      <c r="H295" s="3">
        <v>0.375</v>
      </c>
      <c r="I295" s="3">
        <v>0.375</v>
      </c>
      <c r="J295" s="4"/>
      <c r="K295" s="4"/>
      <c r="L295" s="4"/>
      <c r="M295" s="4"/>
      <c r="N295" s="3">
        <v>9.7222222222222224E-3</v>
      </c>
      <c r="O295" s="4"/>
      <c r="P295" s="3">
        <v>1.2499999999999999E-2</v>
      </c>
    </row>
    <row r="296" spans="1:16" x14ac:dyDescent="0.25">
      <c r="A296" s="4" t="s">
        <v>231</v>
      </c>
      <c r="B296" s="3">
        <v>0.50694444444444442</v>
      </c>
      <c r="C296" s="3">
        <v>0.55833333333333335</v>
      </c>
      <c r="D296" s="3">
        <v>0.59861111111111109</v>
      </c>
      <c r="E296" s="3">
        <v>0.92083333333333339</v>
      </c>
      <c r="F296" s="4"/>
      <c r="G296" s="4"/>
      <c r="H296" s="3">
        <v>0.375</v>
      </c>
      <c r="I296" s="3">
        <v>0.375</v>
      </c>
      <c r="J296" s="4"/>
      <c r="K296" s="4"/>
      <c r="L296" s="4"/>
      <c r="M296" s="4"/>
      <c r="N296" s="3">
        <v>4.1666666666666666E-3</v>
      </c>
      <c r="O296" s="4"/>
      <c r="P296" s="4"/>
    </row>
    <row r="297" spans="1:16" x14ac:dyDescent="0.25">
      <c r="A297" s="4" t="s">
        <v>232</v>
      </c>
      <c r="B297" s="4" t="s">
        <v>25</v>
      </c>
      <c r="C297" s="4" t="s">
        <v>25</v>
      </c>
      <c r="D297" s="4" t="s">
        <v>25</v>
      </c>
      <c r="E297" s="4" t="s">
        <v>25</v>
      </c>
      <c r="F297" s="4" t="s">
        <v>25</v>
      </c>
      <c r="G297" s="4" t="s">
        <v>25</v>
      </c>
      <c r="H297" s="4"/>
      <c r="I297" s="4"/>
      <c r="J297" s="4"/>
      <c r="K297" s="4"/>
      <c r="L297" s="4"/>
      <c r="M297" s="4"/>
      <c r="N297" s="4"/>
      <c r="O297" s="4"/>
      <c r="P297" s="4"/>
    </row>
    <row r="298" spans="1:16" x14ac:dyDescent="0.25">
      <c r="A298" s="4" t="s">
        <v>233</v>
      </c>
      <c r="B298" s="4" t="s">
        <v>25</v>
      </c>
      <c r="C298" s="4" t="s">
        <v>25</v>
      </c>
      <c r="D298" s="4" t="s">
        <v>25</v>
      </c>
      <c r="E298" s="4" t="s">
        <v>25</v>
      </c>
      <c r="F298" s="4" t="s">
        <v>25</v>
      </c>
      <c r="G298" s="4" t="s">
        <v>25</v>
      </c>
      <c r="H298" s="4"/>
      <c r="I298" s="4"/>
      <c r="J298" s="4"/>
      <c r="K298" s="4"/>
      <c r="L298" s="4"/>
      <c r="M298" s="4"/>
      <c r="N298" s="4"/>
      <c r="O298" s="4"/>
      <c r="P298" s="4"/>
    </row>
    <row r="299" spans="1:16" x14ac:dyDescent="0.25">
      <c r="A299" s="4" t="s">
        <v>234</v>
      </c>
      <c r="B299" s="3">
        <v>0.54166666666666663</v>
      </c>
      <c r="C299" s="3">
        <v>0.62430555555555556</v>
      </c>
      <c r="D299" s="3">
        <v>0.66597222222222219</v>
      </c>
      <c r="E299" s="3">
        <v>0.91805555555555562</v>
      </c>
      <c r="F299" s="4"/>
      <c r="G299" s="4"/>
      <c r="H299" s="3">
        <v>0.33333333333333331</v>
      </c>
      <c r="I299" s="3">
        <v>0.33333333333333331</v>
      </c>
      <c r="J299" s="4"/>
      <c r="K299" s="4"/>
      <c r="L299" s="4"/>
      <c r="M299" s="4"/>
      <c r="N299" s="4"/>
      <c r="O299" s="4"/>
      <c r="P299" s="4"/>
    </row>
    <row r="300" spans="1:16" x14ac:dyDescent="0.25">
      <c r="A300" s="4" t="s">
        <v>235</v>
      </c>
      <c r="B300" s="3">
        <v>0.51388888888888895</v>
      </c>
      <c r="C300" s="3">
        <v>0.56666666666666665</v>
      </c>
      <c r="D300" s="3">
        <v>0.60833333333333328</v>
      </c>
      <c r="E300" s="3">
        <v>0.92083333333333339</v>
      </c>
      <c r="F300" s="4"/>
      <c r="G300" s="4"/>
      <c r="H300" s="3">
        <v>0.375</v>
      </c>
      <c r="I300" s="3">
        <v>0.36527777777777781</v>
      </c>
      <c r="J300" s="4"/>
      <c r="K300" s="4"/>
      <c r="L300" s="4"/>
      <c r="M300" s="4"/>
      <c r="N300" s="3">
        <v>4.1666666666666666E-3</v>
      </c>
      <c r="O300" s="3">
        <v>9.7222222222222224E-3</v>
      </c>
      <c r="P300" s="4"/>
    </row>
    <row r="301" spans="1:16" x14ac:dyDescent="0.25">
      <c r="A301" s="4" t="s">
        <v>236</v>
      </c>
      <c r="B301" s="3">
        <v>0.49305555555555558</v>
      </c>
      <c r="C301" s="3">
        <v>0.79375000000000007</v>
      </c>
      <c r="D301" s="3">
        <v>0.83194444444444438</v>
      </c>
      <c r="E301" s="3">
        <v>0.92291666666666661</v>
      </c>
      <c r="F301" s="4"/>
      <c r="G301" s="4"/>
      <c r="H301" s="3">
        <v>0.375</v>
      </c>
      <c r="I301" s="3">
        <v>0.375</v>
      </c>
      <c r="J301" s="4"/>
      <c r="K301" s="4"/>
      <c r="L301" s="4"/>
      <c r="M301" s="4"/>
      <c r="N301" s="3">
        <v>6.2499999999999995E-3</v>
      </c>
      <c r="O301" s="4"/>
      <c r="P301" s="3">
        <v>1.3194444444444444E-2</v>
      </c>
    </row>
    <row r="302" spans="1:16" x14ac:dyDescent="0.25">
      <c r="A302" s="4" t="s">
        <v>237</v>
      </c>
      <c r="B302" s="3">
        <v>0.49722222222222223</v>
      </c>
      <c r="C302" s="3">
        <v>0.59375</v>
      </c>
      <c r="D302" s="3">
        <v>0.63402777777777775</v>
      </c>
      <c r="E302" s="3">
        <v>0.9243055555555556</v>
      </c>
      <c r="F302" s="4"/>
      <c r="G302" s="4"/>
      <c r="H302" s="3">
        <v>0.375</v>
      </c>
      <c r="I302" s="3">
        <v>0.375</v>
      </c>
      <c r="J302" s="4"/>
      <c r="K302" s="4"/>
      <c r="L302" s="4"/>
      <c r="M302" s="4"/>
      <c r="N302" s="3">
        <v>7.6388888888888886E-3</v>
      </c>
      <c r="O302" s="4"/>
      <c r="P302" s="3">
        <v>9.0277777777777787E-3</v>
      </c>
    </row>
    <row r="303" spans="1:16" x14ac:dyDescent="0.25">
      <c r="A303" s="4" t="s">
        <v>238</v>
      </c>
      <c r="B303" s="3">
        <v>0.50763888888888886</v>
      </c>
      <c r="C303" s="3">
        <v>0.56805555555555554</v>
      </c>
      <c r="D303" s="3">
        <v>0.60902777777777783</v>
      </c>
      <c r="E303" s="3">
        <v>0.92708333333333337</v>
      </c>
      <c r="F303" s="4"/>
      <c r="G303" s="4"/>
      <c r="H303" s="3">
        <v>0.375</v>
      </c>
      <c r="I303" s="3">
        <v>0.375</v>
      </c>
      <c r="J303" s="4"/>
      <c r="K303" s="4"/>
      <c r="L303" s="4"/>
      <c r="M303" s="4"/>
      <c r="N303" s="3">
        <v>1.0416666666666666E-2</v>
      </c>
      <c r="O303" s="4"/>
      <c r="P303" s="4"/>
    </row>
    <row r="304" spans="1:16" x14ac:dyDescent="0.25">
      <c r="A304" s="4" t="s">
        <v>239</v>
      </c>
      <c r="B304" s="4" t="s">
        <v>25</v>
      </c>
      <c r="C304" s="4" t="s">
        <v>25</v>
      </c>
      <c r="D304" s="4" t="s">
        <v>25</v>
      </c>
      <c r="E304" s="4" t="s">
        <v>25</v>
      </c>
      <c r="F304" s="4" t="s">
        <v>25</v>
      </c>
      <c r="G304" s="4" t="s">
        <v>25</v>
      </c>
      <c r="H304" s="4"/>
      <c r="I304" s="4"/>
      <c r="J304" s="4"/>
      <c r="K304" s="4"/>
      <c r="L304" s="4"/>
      <c r="M304" s="4"/>
      <c r="N304" s="4"/>
      <c r="O304" s="4"/>
      <c r="P304" s="4"/>
    </row>
    <row r="305" spans="1:16" x14ac:dyDescent="0.25">
      <c r="A305" s="4" t="s">
        <v>240</v>
      </c>
      <c r="B305" s="4" t="s">
        <v>25</v>
      </c>
      <c r="C305" s="4" t="s">
        <v>25</v>
      </c>
      <c r="D305" s="4" t="s">
        <v>25</v>
      </c>
      <c r="E305" s="4" t="s">
        <v>25</v>
      </c>
      <c r="F305" s="4" t="s">
        <v>25</v>
      </c>
      <c r="G305" s="4" t="s">
        <v>25</v>
      </c>
      <c r="H305" s="4"/>
      <c r="I305" s="4"/>
      <c r="J305" s="4"/>
      <c r="K305" s="4"/>
      <c r="L305" s="4"/>
      <c r="M305" s="4"/>
      <c r="N305" s="4"/>
      <c r="O305" s="4"/>
      <c r="P305" s="4"/>
    </row>
    <row r="306" spans="1:16" x14ac:dyDescent="0.25">
      <c r="A306" s="4" t="s">
        <v>241</v>
      </c>
      <c r="B306" s="3">
        <v>0.53888888888888886</v>
      </c>
      <c r="C306" s="3">
        <v>0.59305555555555556</v>
      </c>
      <c r="D306" s="3">
        <v>0.63402777777777775</v>
      </c>
      <c r="E306" s="3">
        <v>0.92152777777777783</v>
      </c>
      <c r="F306" s="4"/>
      <c r="G306" s="4"/>
      <c r="H306" s="3">
        <v>0.33333333333333331</v>
      </c>
      <c r="I306" s="3">
        <v>0.33333333333333331</v>
      </c>
      <c r="J306" s="4"/>
      <c r="K306" s="4"/>
      <c r="L306" s="4"/>
      <c r="M306" s="4"/>
      <c r="N306" s="3">
        <v>4.8611111111111112E-3</v>
      </c>
      <c r="O306" s="4"/>
      <c r="P306" s="4"/>
    </row>
    <row r="307" spans="1:16" x14ac:dyDescent="0.25">
      <c r="A307" s="4" t="s">
        <v>242</v>
      </c>
      <c r="B307" s="3">
        <v>0.5</v>
      </c>
      <c r="C307" s="3">
        <v>0.8256944444444444</v>
      </c>
      <c r="D307" s="3">
        <v>0.86736111111111114</v>
      </c>
      <c r="E307" s="3">
        <v>0.92152777777777783</v>
      </c>
      <c r="F307" s="4"/>
      <c r="G307" s="4"/>
      <c r="H307" s="3">
        <v>0.375</v>
      </c>
      <c r="I307" s="3">
        <v>0.375</v>
      </c>
      <c r="J307" s="4"/>
      <c r="K307" s="4"/>
      <c r="L307" s="4"/>
      <c r="M307" s="4"/>
      <c r="N307" s="3">
        <v>4.8611111111111112E-3</v>
      </c>
      <c r="O307" s="4"/>
      <c r="P307" s="4"/>
    </row>
    <row r="308" spans="1:16" x14ac:dyDescent="0.25">
      <c r="A308" s="4" t="s">
        <v>243</v>
      </c>
      <c r="B308" s="3">
        <v>0.5131944444444444</v>
      </c>
      <c r="C308" s="3">
        <v>0.56458333333333333</v>
      </c>
      <c r="D308" s="3">
        <v>0.60555555555555551</v>
      </c>
      <c r="E308" s="3">
        <v>0.9458333333333333</v>
      </c>
      <c r="F308" s="4"/>
      <c r="G308" s="4"/>
      <c r="H308" s="3">
        <v>0.375</v>
      </c>
      <c r="I308" s="3">
        <v>0.375</v>
      </c>
      <c r="J308" s="4"/>
      <c r="K308" s="4"/>
      <c r="L308" s="4"/>
      <c r="M308" s="4"/>
      <c r="N308" s="3">
        <v>2.9166666666666664E-2</v>
      </c>
      <c r="O308" s="4"/>
      <c r="P308" s="3">
        <v>1.6666666666666666E-2</v>
      </c>
    </row>
    <row r="309" spans="1:16" x14ac:dyDescent="0.25">
      <c r="A309" s="4" t="s">
        <v>244</v>
      </c>
      <c r="B309" s="3">
        <v>0.37847222222222227</v>
      </c>
      <c r="C309" s="3">
        <v>0.55902777777777779</v>
      </c>
      <c r="D309" s="3">
        <v>0.6</v>
      </c>
      <c r="E309" s="3">
        <v>0.75694444444444453</v>
      </c>
      <c r="F309" s="4"/>
      <c r="G309" s="4"/>
      <c r="H309" s="4"/>
      <c r="I309" s="4"/>
      <c r="J309" s="4"/>
      <c r="K309" s="4"/>
      <c r="L309" s="4"/>
      <c r="M309" s="4"/>
      <c r="N309" s="4"/>
      <c r="O309" s="4"/>
      <c r="P309" s="3">
        <v>0.33749999999999997</v>
      </c>
    </row>
    <row r="310" spans="1:16" x14ac:dyDescent="0.25">
      <c r="A310" s="4" t="s">
        <v>245</v>
      </c>
      <c r="B310" s="3">
        <v>0.50347222222222221</v>
      </c>
      <c r="C310" s="3">
        <v>0.55347222222222225</v>
      </c>
      <c r="D310" s="3">
        <v>0.59236111111111112</v>
      </c>
      <c r="E310" s="3">
        <v>0.9243055555555556</v>
      </c>
      <c r="F310" s="4"/>
      <c r="G310" s="4"/>
      <c r="H310" s="3">
        <v>0.375</v>
      </c>
      <c r="I310" s="3">
        <v>0.375</v>
      </c>
      <c r="J310" s="4"/>
      <c r="K310" s="4"/>
      <c r="L310" s="4"/>
      <c r="M310" s="4"/>
      <c r="N310" s="3">
        <v>7.6388888888888886E-3</v>
      </c>
      <c r="O310" s="4"/>
      <c r="P310" s="3">
        <v>1.0416666666666666E-2</v>
      </c>
    </row>
    <row r="311" spans="1:16" x14ac:dyDescent="0.25">
      <c r="A311" s="4" t="s">
        <v>246</v>
      </c>
      <c r="B311" s="4" t="s">
        <v>25</v>
      </c>
      <c r="C311" s="4" t="s">
        <v>25</v>
      </c>
      <c r="D311" s="4" t="s">
        <v>25</v>
      </c>
      <c r="E311" s="4" t="s">
        <v>25</v>
      </c>
      <c r="F311" s="4" t="s">
        <v>25</v>
      </c>
      <c r="G311" s="4" t="s">
        <v>25</v>
      </c>
      <c r="H311" s="4"/>
      <c r="I311" s="4"/>
      <c r="J311" s="4"/>
      <c r="K311" s="4"/>
      <c r="L311" s="4"/>
      <c r="M311" s="4"/>
      <c r="N311" s="4"/>
      <c r="O311" s="4"/>
      <c r="P311" s="4"/>
    </row>
    <row r="312" spans="1:16" x14ac:dyDescent="0.25">
      <c r="A312" s="4" t="s">
        <v>247</v>
      </c>
      <c r="B312" s="4" t="s">
        <v>25</v>
      </c>
      <c r="C312" s="4" t="s">
        <v>25</v>
      </c>
      <c r="D312" s="4" t="s">
        <v>25</v>
      </c>
      <c r="E312" s="4" t="s">
        <v>25</v>
      </c>
      <c r="F312" s="4" t="s">
        <v>25</v>
      </c>
      <c r="G312" s="4" t="s">
        <v>25</v>
      </c>
      <c r="H312" s="4"/>
      <c r="I312" s="4"/>
      <c r="J312" s="4"/>
      <c r="K312" s="4"/>
      <c r="L312" s="4"/>
      <c r="M312" s="4"/>
      <c r="N312" s="4"/>
      <c r="O312" s="4"/>
      <c r="P312" s="4"/>
    </row>
    <row r="313" spans="1:16" x14ac:dyDescent="0.25">
      <c r="A313" s="4" t="s">
        <v>248</v>
      </c>
      <c r="B313" s="3">
        <v>0.54305555555555551</v>
      </c>
      <c r="C313" s="3">
        <v>0.59375</v>
      </c>
      <c r="D313" s="3">
        <v>0.63472222222222219</v>
      </c>
      <c r="E313" s="3">
        <v>0.92152777777777783</v>
      </c>
      <c r="F313" s="4"/>
      <c r="G313" s="4"/>
      <c r="H313" s="3">
        <v>0.33333333333333331</v>
      </c>
      <c r="I313" s="3">
        <v>0.33333333333333331</v>
      </c>
      <c r="J313" s="4"/>
      <c r="K313" s="4"/>
      <c r="L313" s="4"/>
      <c r="M313" s="4"/>
      <c r="N313" s="3">
        <v>4.8611111111111112E-3</v>
      </c>
      <c r="O313" s="4"/>
      <c r="P313" s="4"/>
    </row>
    <row r="314" spans="1:16" x14ac:dyDescent="0.25">
      <c r="A314" s="4" t="s">
        <v>249</v>
      </c>
      <c r="B314" s="3">
        <v>0.50624999999999998</v>
      </c>
      <c r="C314" s="3">
        <v>0.57222222222222219</v>
      </c>
      <c r="D314" s="4" t="s">
        <v>52</v>
      </c>
      <c r="E314" s="4" t="s">
        <v>52</v>
      </c>
      <c r="F314" s="4"/>
      <c r="G314" s="4"/>
      <c r="H314" s="3">
        <v>0.375</v>
      </c>
      <c r="I314" s="3">
        <v>0.375</v>
      </c>
      <c r="J314" s="3">
        <v>0.30902777777777779</v>
      </c>
      <c r="K314" s="4"/>
      <c r="L314" s="4"/>
      <c r="M314" s="4"/>
      <c r="N314" s="4"/>
      <c r="O314" s="4"/>
      <c r="P314" s="4"/>
    </row>
    <row r="315" spans="1:16" x14ac:dyDescent="0.25">
      <c r="A315" s="4" t="s">
        <v>251</v>
      </c>
      <c r="B315" s="4" t="s">
        <v>52</v>
      </c>
      <c r="C315" s="4" t="s">
        <v>52</v>
      </c>
      <c r="D315" s="4" t="s">
        <v>52</v>
      </c>
      <c r="E315" s="4" t="s">
        <v>52</v>
      </c>
      <c r="F315" s="4"/>
      <c r="G315" s="4"/>
      <c r="H315" s="3">
        <v>0.375</v>
      </c>
      <c r="I315" s="3">
        <v>0.375</v>
      </c>
      <c r="J315" s="3">
        <v>0.375</v>
      </c>
      <c r="K315" s="4"/>
      <c r="L315" s="4"/>
      <c r="M315" s="4"/>
      <c r="N315" s="4"/>
      <c r="O315" s="4"/>
      <c r="P315" s="4"/>
    </row>
    <row r="316" spans="1:16" x14ac:dyDescent="0.25">
      <c r="A316" s="4" t="s">
        <v>256</v>
      </c>
      <c r="B316" s="4" t="s">
        <v>52</v>
      </c>
      <c r="C316" s="4" t="s">
        <v>52</v>
      </c>
      <c r="D316" s="4" t="s">
        <v>52</v>
      </c>
      <c r="E316" s="4" t="s">
        <v>52</v>
      </c>
      <c r="F316" s="4"/>
      <c r="G316" s="4"/>
      <c r="H316" s="3">
        <v>0.375</v>
      </c>
      <c r="I316" s="3">
        <v>0.375</v>
      </c>
      <c r="J316" s="3">
        <v>0.375</v>
      </c>
      <c r="K316" s="4"/>
      <c r="L316" s="4"/>
      <c r="M316" s="4"/>
      <c r="N316" s="4"/>
      <c r="O316" s="4"/>
      <c r="P316" s="4"/>
    </row>
    <row r="317" spans="1:16" x14ac:dyDescent="0.25">
      <c r="A317" s="4" t="s">
        <v>259</v>
      </c>
      <c r="B317" s="3">
        <v>0.4993055555555555</v>
      </c>
      <c r="C317" s="3">
        <v>0.5756944444444444</v>
      </c>
      <c r="D317" s="3">
        <v>0.61736111111111114</v>
      </c>
      <c r="E317" s="3">
        <v>0.93333333333333324</v>
      </c>
      <c r="F317" s="4"/>
      <c r="G317" s="4"/>
      <c r="H317" s="3">
        <v>0.375</v>
      </c>
      <c r="I317" s="3">
        <v>0.375</v>
      </c>
      <c r="J317" s="4"/>
      <c r="K317" s="4"/>
      <c r="L317" s="4"/>
      <c r="M317" s="4"/>
      <c r="N317" s="3">
        <v>1.6666666666666666E-2</v>
      </c>
      <c r="O317" s="4"/>
      <c r="P317" s="3">
        <v>1.6666666666666666E-2</v>
      </c>
    </row>
    <row r="318" spans="1:16" x14ac:dyDescent="0.25">
      <c r="A318" s="4" t="s">
        <v>260</v>
      </c>
      <c r="B318" s="4" t="s">
        <v>25</v>
      </c>
      <c r="C318" s="4" t="s">
        <v>25</v>
      </c>
      <c r="D318" s="4" t="s">
        <v>25</v>
      </c>
      <c r="E318" s="4" t="s">
        <v>25</v>
      </c>
      <c r="F318" s="4" t="s">
        <v>25</v>
      </c>
      <c r="G318" s="4" t="s">
        <v>25</v>
      </c>
      <c r="H318" s="4"/>
      <c r="I318" s="4"/>
      <c r="J318" s="4"/>
      <c r="K318" s="4"/>
      <c r="L318" s="4"/>
      <c r="M318" s="4"/>
      <c r="N318" s="4"/>
      <c r="O318" s="4"/>
      <c r="P318" s="4"/>
    </row>
    <row r="319" spans="1:16" x14ac:dyDescent="0.25">
      <c r="A319" s="4" t="s">
        <v>261</v>
      </c>
      <c r="B319" s="4" t="s">
        <v>25</v>
      </c>
      <c r="C319" s="4" t="s">
        <v>25</v>
      </c>
      <c r="D319" s="4" t="s">
        <v>25</v>
      </c>
      <c r="E319" s="4" t="s">
        <v>25</v>
      </c>
      <c r="F319" s="4" t="s">
        <v>25</v>
      </c>
      <c r="G319" s="4" t="s">
        <v>25</v>
      </c>
      <c r="H319" s="4"/>
      <c r="I319" s="4"/>
      <c r="J319" s="4"/>
      <c r="K319" s="4"/>
      <c r="L319" s="4"/>
      <c r="M319" s="4"/>
      <c r="N319" s="4"/>
      <c r="O319" s="4"/>
      <c r="P319" s="4"/>
    </row>
    <row r="320" spans="1:16" x14ac:dyDescent="0.25">
      <c r="A320" s="4" t="s">
        <v>262</v>
      </c>
      <c r="B320" s="3">
        <v>0.5444444444444444</v>
      </c>
      <c r="C320" s="3">
        <v>0.59583333333333333</v>
      </c>
      <c r="D320" s="3">
        <v>0.63680555555555551</v>
      </c>
      <c r="E320" s="3">
        <v>0.92222222222222217</v>
      </c>
      <c r="F320" s="4"/>
      <c r="G320" s="4"/>
      <c r="H320" s="3">
        <v>0.33333333333333331</v>
      </c>
      <c r="I320" s="3">
        <v>0.33333333333333331</v>
      </c>
      <c r="J320" s="4"/>
      <c r="K320" s="4"/>
      <c r="L320" s="4"/>
      <c r="M320" s="4"/>
      <c r="N320" s="3">
        <v>5.5555555555555558E-3</v>
      </c>
      <c r="O320" s="4"/>
      <c r="P320" s="4"/>
    </row>
    <row r="321" spans="1:16" x14ac:dyDescent="0.25">
      <c r="A321" s="4" t="s">
        <v>263</v>
      </c>
      <c r="B321" s="3">
        <v>0.50347222222222221</v>
      </c>
      <c r="C321" s="3">
        <v>0.6381944444444444</v>
      </c>
      <c r="D321" s="3">
        <v>0.67986111111111114</v>
      </c>
      <c r="E321" s="3">
        <v>0.92152777777777783</v>
      </c>
      <c r="F321" s="4"/>
      <c r="G321" s="4"/>
      <c r="H321" s="3">
        <v>0.375</v>
      </c>
      <c r="I321" s="3">
        <v>0.375</v>
      </c>
      <c r="J321" s="4"/>
      <c r="K321" s="4"/>
      <c r="L321" s="4"/>
      <c r="M321" s="4"/>
      <c r="N321" s="3">
        <v>4.8611111111111112E-3</v>
      </c>
      <c r="O321" s="4"/>
      <c r="P321" s="4"/>
    </row>
    <row r="322" spans="1:16" x14ac:dyDescent="0.25">
      <c r="A322" s="4" t="s">
        <v>264</v>
      </c>
      <c r="B322" s="3">
        <v>0.49652777777777773</v>
      </c>
      <c r="C322" s="3">
        <v>0.57291666666666663</v>
      </c>
      <c r="D322" s="3">
        <v>0.61458333333333337</v>
      </c>
      <c r="E322" s="3">
        <v>0.92013888888888884</v>
      </c>
      <c r="F322" s="4"/>
      <c r="G322" s="4"/>
      <c r="H322" s="3">
        <v>0.375</v>
      </c>
      <c r="I322" s="3">
        <v>0.375</v>
      </c>
      <c r="J322" s="4"/>
      <c r="K322" s="4"/>
      <c r="L322" s="4"/>
      <c r="M322" s="4"/>
      <c r="N322" s="4"/>
      <c r="O322" s="4"/>
      <c r="P322" s="4"/>
    </row>
    <row r="324" spans="1:16" x14ac:dyDescent="0.25">
      <c r="A324" s="7" t="s">
        <v>45</v>
      </c>
    </row>
    <row r="327" spans="1:16" x14ac:dyDescent="0.25">
      <c r="A327" s="7" t="s">
        <v>46</v>
      </c>
    </row>
    <row r="328" spans="1:16" x14ac:dyDescent="0.25">
      <c r="A328" s="7" t="s">
        <v>60</v>
      </c>
      <c r="F328" s="7" t="s">
        <v>47</v>
      </c>
    </row>
    <row r="329" spans="1:16" x14ac:dyDescent="0.25">
      <c r="F329" s="7"/>
    </row>
    <row r="333" spans="1:16" x14ac:dyDescent="0.25">
      <c r="G333" s="1" t="s">
        <v>18</v>
      </c>
    </row>
    <row r="334" spans="1:16" x14ac:dyDescent="0.25">
      <c r="A334" s="1" t="s">
        <v>1</v>
      </c>
      <c r="B334" t="s">
        <v>2</v>
      </c>
      <c r="H334" s="1" t="s">
        <v>19</v>
      </c>
      <c r="I334" s="1" t="s">
        <v>20</v>
      </c>
      <c r="J334" s="1" t="s">
        <v>21</v>
      </c>
      <c r="K334" s="1" t="s">
        <v>22</v>
      </c>
      <c r="L334" s="1" t="s">
        <v>23</v>
      </c>
      <c r="M334" s="1" t="s">
        <v>24</v>
      </c>
    </row>
    <row r="335" spans="1:16" x14ac:dyDescent="0.25">
      <c r="A335" s="1" t="s">
        <v>3</v>
      </c>
      <c r="B335" t="s">
        <v>4</v>
      </c>
      <c r="G335" s="1" t="s">
        <v>220</v>
      </c>
      <c r="H335" s="3">
        <v>0.54166666666666663</v>
      </c>
      <c r="I335" s="3">
        <v>0.79166666666666663</v>
      </c>
      <c r="J335" s="3">
        <v>0.83333333333333337</v>
      </c>
      <c r="K335" s="3">
        <v>0.91666666666666663</v>
      </c>
      <c r="L335" s="4"/>
      <c r="M335" s="4"/>
    </row>
    <row r="336" spans="1:16" x14ac:dyDescent="0.25">
      <c r="A336" s="1" t="s">
        <v>5</v>
      </c>
      <c r="B336" t="s">
        <v>6</v>
      </c>
      <c r="G336" s="1" t="s">
        <v>221</v>
      </c>
      <c r="H336" s="3">
        <v>0.5</v>
      </c>
      <c r="I336" s="3">
        <v>0.79166666666666663</v>
      </c>
      <c r="J336" s="3">
        <v>0.83333333333333337</v>
      </c>
      <c r="K336" s="3">
        <v>0.91666666666666663</v>
      </c>
      <c r="L336" s="4"/>
      <c r="M336" s="4"/>
    </row>
    <row r="337" spans="1:16" x14ac:dyDescent="0.25">
      <c r="G337" s="1" t="s">
        <v>222</v>
      </c>
      <c r="H337" s="3">
        <v>0.5</v>
      </c>
      <c r="I337" s="3">
        <v>0.79166666666666663</v>
      </c>
      <c r="J337" s="3">
        <v>0.83333333333333337</v>
      </c>
      <c r="K337" s="3">
        <v>0.91666666666666663</v>
      </c>
      <c r="L337" s="4"/>
      <c r="M337" s="4"/>
    </row>
    <row r="338" spans="1:16" x14ac:dyDescent="0.25">
      <c r="A338" s="1" t="s">
        <v>7</v>
      </c>
      <c r="B338" t="s">
        <v>62</v>
      </c>
      <c r="G338" s="1" t="s">
        <v>223</v>
      </c>
      <c r="H338" s="3">
        <v>0.5</v>
      </c>
      <c r="I338" s="3">
        <v>0.79166666666666663</v>
      </c>
      <c r="J338" s="3">
        <v>0.83333333333333337</v>
      </c>
      <c r="K338" s="3">
        <v>0.91666666666666663</v>
      </c>
      <c r="L338" s="4"/>
      <c r="M338" s="4"/>
    </row>
    <row r="339" spans="1:16" x14ac:dyDescent="0.25">
      <c r="A339" s="1" t="s">
        <v>9</v>
      </c>
      <c r="B339" t="s">
        <v>63</v>
      </c>
      <c r="D339" s="1" t="s">
        <v>11</v>
      </c>
      <c r="E339" t="s">
        <v>63</v>
      </c>
      <c r="G339" s="1" t="s">
        <v>224</v>
      </c>
      <c r="H339" s="3">
        <v>0.5</v>
      </c>
      <c r="I339" s="3">
        <v>0.79166666666666663</v>
      </c>
      <c r="J339" s="3">
        <v>0.83333333333333337</v>
      </c>
      <c r="K339" s="3">
        <v>0.91666666666666663</v>
      </c>
      <c r="L339" s="4"/>
      <c r="M339" s="4"/>
    </row>
    <row r="340" spans="1:16" x14ac:dyDescent="0.25">
      <c r="A340" s="1" t="s">
        <v>12</v>
      </c>
      <c r="D340" s="1" t="s">
        <v>13</v>
      </c>
      <c r="E340" s="2">
        <v>42758</v>
      </c>
      <c r="G340" s="1" t="s">
        <v>225</v>
      </c>
      <c r="H340" s="4" t="s">
        <v>25</v>
      </c>
      <c r="I340" s="4" t="s">
        <v>25</v>
      </c>
      <c r="J340" s="4" t="s">
        <v>25</v>
      </c>
      <c r="K340" s="4" t="s">
        <v>25</v>
      </c>
      <c r="L340" s="4" t="s">
        <v>25</v>
      </c>
      <c r="M340" s="4" t="s">
        <v>25</v>
      </c>
    </row>
    <row r="341" spans="1:16" x14ac:dyDescent="0.25">
      <c r="A341" s="1" t="s">
        <v>14</v>
      </c>
      <c r="B341" t="s">
        <v>58</v>
      </c>
      <c r="G341" s="1" t="s">
        <v>226</v>
      </c>
      <c r="H341" s="4" t="s">
        <v>25</v>
      </c>
      <c r="I341" s="4" t="s">
        <v>25</v>
      </c>
      <c r="J341" s="4" t="s">
        <v>25</v>
      </c>
      <c r="K341" s="4" t="s">
        <v>25</v>
      </c>
      <c r="L341" s="4" t="s">
        <v>25</v>
      </c>
      <c r="M341" s="4" t="s">
        <v>25</v>
      </c>
    </row>
    <row r="342" spans="1:16" x14ac:dyDescent="0.25">
      <c r="A342" s="1" t="s">
        <v>16</v>
      </c>
      <c r="B342" t="s">
        <v>17</v>
      </c>
    </row>
    <row r="345" spans="1:16" x14ac:dyDescent="0.25">
      <c r="A345" s="5" t="s">
        <v>26</v>
      </c>
      <c r="B345" s="5" t="s">
        <v>27</v>
      </c>
      <c r="C345" s="5" t="s">
        <v>28</v>
      </c>
      <c r="D345" s="5" t="s">
        <v>29</v>
      </c>
      <c r="E345" s="5" t="s">
        <v>30</v>
      </c>
      <c r="F345" s="5" t="s">
        <v>31</v>
      </c>
      <c r="G345" s="5" t="s">
        <v>32</v>
      </c>
      <c r="H345" s="5" t="s">
        <v>33</v>
      </c>
      <c r="I345" s="5" t="s">
        <v>34</v>
      </c>
      <c r="J345" s="5" t="s">
        <v>35</v>
      </c>
      <c r="K345" s="5" t="s">
        <v>36</v>
      </c>
      <c r="L345" s="5" t="s">
        <v>37</v>
      </c>
      <c r="M345" s="5" t="s">
        <v>38</v>
      </c>
      <c r="N345" s="5" t="s">
        <v>39</v>
      </c>
      <c r="O345" s="5" t="s">
        <v>40</v>
      </c>
      <c r="P345" s="5" t="s">
        <v>41</v>
      </c>
    </row>
    <row r="346" spans="1:16" x14ac:dyDescent="0.25">
      <c r="A346" s="4"/>
      <c r="B346" s="4"/>
      <c r="C346" s="4"/>
      <c r="D346" s="4"/>
      <c r="E346" s="4"/>
      <c r="F346" s="4"/>
      <c r="G346" s="4"/>
      <c r="H346" s="6">
        <v>8.0416666666666661</v>
      </c>
      <c r="I346" s="6">
        <v>8</v>
      </c>
      <c r="J346" s="6">
        <v>1.4326388888888888</v>
      </c>
      <c r="K346" s="3">
        <v>0</v>
      </c>
      <c r="L346" s="3">
        <v>0</v>
      </c>
      <c r="M346" s="3">
        <v>0</v>
      </c>
      <c r="N346" s="3">
        <v>9.930555555555555E-2</v>
      </c>
      <c r="O346" s="3">
        <v>4.1666666666666664E-2</v>
      </c>
      <c r="P346" s="3">
        <v>2.2916666666666669E-2</v>
      </c>
    </row>
    <row r="347" spans="1:16" x14ac:dyDescent="0.25">
      <c r="A347" s="4" t="s">
        <v>227</v>
      </c>
      <c r="B347" s="3">
        <v>0.5493055555555556</v>
      </c>
      <c r="C347" s="3">
        <v>0.57291666666666663</v>
      </c>
      <c r="D347" s="3">
        <v>0.61319444444444449</v>
      </c>
      <c r="E347" s="3">
        <v>0.91875000000000007</v>
      </c>
      <c r="F347" s="4"/>
      <c r="G347" s="4"/>
      <c r="H347" s="3">
        <v>0.33333333333333331</v>
      </c>
      <c r="I347" s="3">
        <v>0.33333333333333331</v>
      </c>
      <c r="J347" s="4"/>
      <c r="K347" s="4"/>
      <c r="L347" s="4"/>
      <c r="M347" s="4"/>
      <c r="N347" s="4"/>
      <c r="O347" s="4"/>
      <c r="P347" s="4"/>
    </row>
    <row r="348" spans="1:16" x14ac:dyDescent="0.25">
      <c r="A348" s="4" t="s">
        <v>228</v>
      </c>
      <c r="B348" s="3">
        <v>0.50416666666666665</v>
      </c>
      <c r="C348" s="3">
        <v>0.62847222222222221</v>
      </c>
      <c r="D348" s="3">
        <v>0.67083333333333339</v>
      </c>
      <c r="E348" s="3">
        <v>0.92361111111111116</v>
      </c>
      <c r="F348" s="4"/>
      <c r="G348" s="4"/>
      <c r="H348" s="3">
        <v>0.375</v>
      </c>
      <c r="I348" s="3">
        <v>0.375</v>
      </c>
      <c r="J348" s="4"/>
      <c r="K348" s="4"/>
      <c r="L348" s="4"/>
      <c r="M348" s="4"/>
      <c r="N348" s="3">
        <v>6.9444444444444441E-3</v>
      </c>
      <c r="O348" s="4"/>
      <c r="P348" s="4"/>
    </row>
    <row r="349" spans="1:16" x14ac:dyDescent="0.25">
      <c r="A349" s="4" t="s">
        <v>229</v>
      </c>
      <c r="B349" s="3">
        <v>0.50902777777777775</v>
      </c>
      <c r="C349" s="3">
        <v>0.55694444444444446</v>
      </c>
      <c r="D349" s="3">
        <v>0.59861111111111109</v>
      </c>
      <c r="E349" s="3">
        <v>0.91736111111111107</v>
      </c>
      <c r="F349" s="4"/>
      <c r="G349" s="4"/>
      <c r="H349" s="3">
        <v>0.375</v>
      </c>
      <c r="I349" s="3">
        <v>0.3659722222222222</v>
      </c>
      <c r="J349" s="4"/>
      <c r="K349" s="4"/>
      <c r="L349" s="4"/>
      <c r="M349" s="4"/>
      <c r="N349" s="4"/>
      <c r="O349" s="3">
        <v>9.0277777777777787E-3</v>
      </c>
      <c r="P349" s="4"/>
    </row>
    <row r="350" spans="1:16" x14ac:dyDescent="0.25">
      <c r="A350" s="4" t="s">
        <v>230</v>
      </c>
      <c r="B350" s="3">
        <v>0.50624999999999998</v>
      </c>
      <c r="C350" s="3">
        <v>0.56527777777777777</v>
      </c>
      <c r="D350" s="3">
        <v>0.61249999999999993</v>
      </c>
      <c r="E350" s="3">
        <v>0.92361111111111116</v>
      </c>
      <c r="F350" s="4"/>
      <c r="G350" s="4"/>
      <c r="H350" s="3">
        <v>0.375</v>
      </c>
      <c r="I350" s="3">
        <v>0.375</v>
      </c>
      <c r="J350" s="4"/>
      <c r="K350" s="4"/>
      <c r="L350" s="4"/>
      <c r="M350" s="4"/>
      <c r="N350" s="3">
        <v>6.9444444444444441E-3</v>
      </c>
      <c r="O350" s="4"/>
      <c r="P350" s="4"/>
    </row>
    <row r="351" spans="1:16" x14ac:dyDescent="0.25">
      <c r="A351" s="4" t="s">
        <v>231</v>
      </c>
      <c r="B351" s="3">
        <v>0.50902777777777775</v>
      </c>
      <c r="C351" s="3">
        <v>0.54791666666666672</v>
      </c>
      <c r="D351" s="3">
        <v>0.58958333333333335</v>
      </c>
      <c r="E351" s="3">
        <v>0.92222222222222217</v>
      </c>
      <c r="F351" s="4"/>
      <c r="G351" s="4"/>
      <c r="H351" s="3">
        <v>0.375</v>
      </c>
      <c r="I351" s="3">
        <v>0.375</v>
      </c>
      <c r="J351" s="4"/>
      <c r="K351" s="4"/>
      <c r="L351" s="4"/>
      <c r="M351" s="4"/>
      <c r="N351" s="3">
        <v>5.5555555555555558E-3</v>
      </c>
      <c r="O351" s="4"/>
      <c r="P351" s="4"/>
    </row>
    <row r="352" spans="1:16" x14ac:dyDescent="0.25">
      <c r="A352" s="4" t="s">
        <v>232</v>
      </c>
      <c r="B352" s="4" t="s">
        <v>25</v>
      </c>
      <c r="C352" s="4" t="s">
        <v>25</v>
      </c>
      <c r="D352" s="4" t="s">
        <v>25</v>
      </c>
      <c r="E352" s="4" t="s">
        <v>25</v>
      </c>
      <c r="F352" s="4" t="s">
        <v>25</v>
      </c>
      <c r="G352" s="4" t="s">
        <v>25</v>
      </c>
      <c r="H352" s="4"/>
      <c r="I352" s="4"/>
      <c r="J352" s="4"/>
      <c r="K352" s="4"/>
      <c r="L352" s="4"/>
      <c r="M352" s="4"/>
      <c r="N352" s="4"/>
      <c r="O352" s="4"/>
      <c r="P352" s="4"/>
    </row>
    <row r="353" spans="1:16" x14ac:dyDescent="0.25">
      <c r="A353" s="4" t="s">
        <v>233</v>
      </c>
      <c r="B353" s="4" t="s">
        <v>25</v>
      </c>
      <c r="C353" s="4" t="s">
        <v>25</v>
      </c>
      <c r="D353" s="4" t="s">
        <v>25</v>
      </c>
      <c r="E353" s="4" t="s">
        <v>25</v>
      </c>
      <c r="F353" s="4" t="s">
        <v>25</v>
      </c>
      <c r="G353" s="4" t="s">
        <v>25</v>
      </c>
      <c r="H353" s="4"/>
      <c r="I353" s="4"/>
      <c r="J353" s="4"/>
      <c r="K353" s="4"/>
      <c r="L353" s="4"/>
      <c r="M353" s="4"/>
      <c r="N353" s="4"/>
      <c r="O353" s="4"/>
      <c r="P353" s="4"/>
    </row>
    <row r="354" spans="1:16" x14ac:dyDescent="0.25">
      <c r="A354" s="4" t="s">
        <v>234</v>
      </c>
      <c r="B354" s="3">
        <v>0.54513888888888895</v>
      </c>
      <c r="C354" s="3">
        <v>0.59444444444444444</v>
      </c>
      <c r="D354" s="3">
        <v>0.63472222222222219</v>
      </c>
      <c r="E354" s="3">
        <v>0.92013888888888884</v>
      </c>
      <c r="F354" s="4"/>
      <c r="G354" s="4"/>
      <c r="H354" s="3">
        <v>0.33333333333333331</v>
      </c>
      <c r="I354" s="3">
        <v>0.33333333333333331</v>
      </c>
      <c r="J354" s="4"/>
      <c r="K354" s="4"/>
      <c r="L354" s="4"/>
      <c r="M354" s="4"/>
      <c r="N354" s="4"/>
      <c r="O354" s="4"/>
      <c r="P354" s="4"/>
    </row>
    <row r="355" spans="1:16" x14ac:dyDescent="0.25">
      <c r="A355" s="4" t="s">
        <v>235</v>
      </c>
      <c r="B355" s="3">
        <v>0.50416666666666665</v>
      </c>
      <c r="C355" s="3">
        <v>0.56597222222222221</v>
      </c>
      <c r="D355" s="3">
        <v>0.60833333333333328</v>
      </c>
      <c r="E355" s="3">
        <v>0.92013888888888884</v>
      </c>
      <c r="F355" s="4"/>
      <c r="G355" s="4"/>
      <c r="H355" s="3">
        <v>0.375</v>
      </c>
      <c r="I355" s="3">
        <v>0.375</v>
      </c>
      <c r="J355" s="4"/>
      <c r="K355" s="4"/>
      <c r="L355" s="4"/>
      <c r="M355" s="4"/>
      <c r="N355" s="4"/>
      <c r="O355" s="4"/>
      <c r="P355" s="4"/>
    </row>
    <row r="356" spans="1:16" x14ac:dyDescent="0.25">
      <c r="A356" s="4" t="s">
        <v>236</v>
      </c>
      <c r="B356" s="3">
        <v>0.50416666666666665</v>
      </c>
      <c r="C356" s="3">
        <v>0.56666666666666665</v>
      </c>
      <c r="D356" s="3">
        <v>0.60555555555555551</v>
      </c>
      <c r="E356" s="3">
        <v>0.92291666666666661</v>
      </c>
      <c r="F356" s="4"/>
      <c r="G356" s="4"/>
      <c r="H356" s="3">
        <v>0.375</v>
      </c>
      <c r="I356" s="3">
        <v>0.375</v>
      </c>
      <c r="J356" s="4"/>
      <c r="K356" s="4"/>
      <c r="L356" s="4"/>
      <c r="M356" s="4"/>
      <c r="N356" s="3">
        <v>6.2499999999999995E-3</v>
      </c>
      <c r="O356" s="4"/>
      <c r="P356" s="4"/>
    </row>
    <row r="357" spans="1:16" x14ac:dyDescent="0.25">
      <c r="A357" s="4" t="s">
        <v>237</v>
      </c>
      <c r="B357" s="3">
        <v>0.51041666666666663</v>
      </c>
      <c r="C357" s="3">
        <v>0.56805555555555554</v>
      </c>
      <c r="D357" s="3">
        <v>0.60763888888888895</v>
      </c>
      <c r="E357" s="3">
        <v>0.9243055555555556</v>
      </c>
      <c r="F357" s="4"/>
      <c r="G357" s="4"/>
      <c r="H357" s="3">
        <v>0.375</v>
      </c>
      <c r="I357" s="3">
        <v>0.375</v>
      </c>
      <c r="J357" s="4"/>
      <c r="K357" s="4"/>
      <c r="L357" s="4"/>
      <c r="M357" s="4"/>
      <c r="N357" s="3">
        <v>7.6388888888888886E-3</v>
      </c>
      <c r="O357" s="4"/>
      <c r="P357" s="4"/>
    </row>
    <row r="358" spans="1:16" x14ac:dyDescent="0.25">
      <c r="A358" s="4" t="s">
        <v>238</v>
      </c>
      <c r="B358" s="3">
        <v>0.50624999999999998</v>
      </c>
      <c r="C358" s="3">
        <v>0.56805555555555554</v>
      </c>
      <c r="D358" s="3">
        <v>0.60972222222222217</v>
      </c>
      <c r="E358" s="3">
        <v>0.92361111111111116</v>
      </c>
      <c r="F358" s="4"/>
      <c r="G358" s="4"/>
      <c r="H358" s="3">
        <v>0.375</v>
      </c>
      <c r="I358" s="3">
        <v>0.375</v>
      </c>
      <c r="J358" s="4"/>
      <c r="K358" s="4"/>
      <c r="L358" s="4"/>
      <c r="M358" s="4"/>
      <c r="N358" s="3">
        <v>6.9444444444444441E-3</v>
      </c>
      <c r="O358" s="4"/>
      <c r="P358" s="4"/>
    </row>
    <row r="359" spans="1:16" x14ac:dyDescent="0.25">
      <c r="A359" s="4" t="s">
        <v>239</v>
      </c>
      <c r="B359" s="4" t="s">
        <v>25</v>
      </c>
      <c r="C359" s="4" t="s">
        <v>25</v>
      </c>
      <c r="D359" s="4" t="s">
        <v>25</v>
      </c>
      <c r="E359" s="4" t="s">
        <v>25</v>
      </c>
      <c r="F359" s="4" t="s">
        <v>25</v>
      </c>
      <c r="G359" s="4" t="s">
        <v>25</v>
      </c>
      <c r="H359" s="4"/>
      <c r="I359" s="4"/>
      <c r="J359" s="4"/>
      <c r="K359" s="4"/>
      <c r="L359" s="4"/>
      <c r="M359" s="4"/>
      <c r="N359" s="4"/>
      <c r="O359" s="4"/>
      <c r="P359" s="4"/>
    </row>
    <row r="360" spans="1:16" x14ac:dyDescent="0.25">
      <c r="A360" s="4" t="s">
        <v>240</v>
      </c>
      <c r="B360" s="4" t="s">
        <v>25</v>
      </c>
      <c r="C360" s="4" t="s">
        <v>25</v>
      </c>
      <c r="D360" s="4" t="s">
        <v>25</v>
      </c>
      <c r="E360" s="4" t="s">
        <v>25</v>
      </c>
      <c r="F360" s="4" t="s">
        <v>25</v>
      </c>
      <c r="G360" s="4" t="s">
        <v>25</v>
      </c>
      <c r="H360" s="4"/>
      <c r="I360" s="4"/>
      <c r="J360" s="4"/>
      <c r="K360" s="4"/>
      <c r="L360" s="4"/>
      <c r="M360" s="4"/>
      <c r="N360" s="4"/>
      <c r="O360" s="4"/>
      <c r="P360" s="4"/>
    </row>
    <row r="361" spans="1:16" x14ac:dyDescent="0.25">
      <c r="A361" s="4" t="s">
        <v>241</v>
      </c>
      <c r="B361" s="3">
        <v>0.54236111111111118</v>
      </c>
      <c r="C361" s="3">
        <v>0.59305555555555556</v>
      </c>
      <c r="D361" s="3">
        <v>0.63402777777777775</v>
      </c>
      <c r="E361" s="3">
        <v>0.92152777777777783</v>
      </c>
      <c r="F361" s="4"/>
      <c r="G361" s="4"/>
      <c r="H361" s="3">
        <v>0.33333333333333331</v>
      </c>
      <c r="I361" s="3">
        <v>0.33333333333333331</v>
      </c>
      <c r="J361" s="4"/>
      <c r="K361" s="4"/>
      <c r="L361" s="4"/>
      <c r="M361" s="4"/>
      <c r="N361" s="3">
        <v>4.8611111111111112E-3</v>
      </c>
      <c r="O361" s="4"/>
      <c r="P361" s="4"/>
    </row>
    <row r="362" spans="1:16" x14ac:dyDescent="0.25">
      <c r="A362" s="4" t="s">
        <v>242</v>
      </c>
      <c r="B362" s="3">
        <v>0.50624999999999998</v>
      </c>
      <c r="C362" s="3">
        <v>0.57222222222222219</v>
      </c>
      <c r="D362" s="3">
        <v>0.61388888888888882</v>
      </c>
      <c r="E362" s="3">
        <v>0.92361111111111116</v>
      </c>
      <c r="F362" s="4"/>
      <c r="G362" s="4"/>
      <c r="H362" s="3">
        <v>0.375</v>
      </c>
      <c r="I362" s="3">
        <v>0.375</v>
      </c>
      <c r="J362" s="4"/>
      <c r="K362" s="4"/>
      <c r="L362" s="4"/>
      <c r="M362" s="4"/>
      <c r="N362" s="3">
        <v>6.9444444444444441E-3</v>
      </c>
      <c r="O362" s="4"/>
      <c r="P362" s="4"/>
    </row>
    <row r="363" spans="1:16" x14ac:dyDescent="0.25">
      <c r="A363" s="4" t="s">
        <v>243</v>
      </c>
      <c r="B363" s="3">
        <v>0.50972222222222219</v>
      </c>
      <c r="C363" s="3">
        <v>0.58402777777777781</v>
      </c>
      <c r="D363" s="3">
        <v>0.62430555555555556</v>
      </c>
      <c r="E363" s="3">
        <v>0.94097222222222221</v>
      </c>
      <c r="F363" s="4"/>
      <c r="G363" s="4"/>
      <c r="H363" s="3">
        <v>0.375</v>
      </c>
      <c r="I363" s="3">
        <v>0.375</v>
      </c>
      <c r="J363" s="4"/>
      <c r="K363" s="4"/>
      <c r="L363" s="4"/>
      <c r="M363" s="4"/>
      <c r="N363" s="3">
        <v>2.4305555555555556E-2</v>
      </c>
      <c r="O363" s="4"/>
      <c r="P363" s="3">
        <v>1.5972222222222224E-2</v>
      </c>
    </row>
    <row r="364" spans="1:16" x14ac:dyDescent="0.25">
      <c r="A364" s="4" t="s">
        <v>244</v>
      </c>
      <c r="B364" s="4" t="s">
        <v>265</v>
      </c>
      <c r="C364" s="4" t="s">
        <v>265</v>
      </c>
      <c r="D364" s="4" t="s">
        <v>265</v>
      </c>
      <c r="E364" s="4" t="s">
        <v>265</v>
      </c>
      <c r="F364" s="4"/>
      <c r="G364" s="4"/>
      <c r="H364" s="4"/>
      <c r="I364" s="4"/>
      <c r="J364" s="4"/>
      <c r="K364" s="4"/>
      <c r="L364" s="4"/>
      <c r="M364" s="4"/>
      <c r="N364" s="4"/>
      <c r="O364" s="4"/>
      <c r="P364" s="4"/>
    </row>
    <row r="365" spans="1:16" x14ac:dyDescent="0.25">
      <c r="A365" s="4" t="s">
        <v>245</v>
      </c>
      <c r="B365" s="4" t="s">
        <v>265</v>
      </c>
      <c r="C365" s="4" t="s">
        <v>265</v>
      </c>
      <c r="D365" s="4" t="s">
        <v>265</v>
      </c>
      <c r="E365" s="4" t="s">
        <v>265</v>
      </c>
      <c r="F365" s="4"/>
      <c r="G365" s="4"/>
      <c r="H365" s="3">
        <v>0.375</v>
      </c>
      <c r="I365" s="3">
        <v>0.375</v>
      </c>
      <c r="J365" s="3">
        <v>0.375</v>
      </c>
      <c r="K365" s="4"/>
      <c r="L365" s="4"/>
      <c r="M365" s="4"/>
      <c r="N365" s="4"/>
      <c r="O365" s="4"/>
      <c r="P365" s="4"/>
    </row>
    <row r="366" spans="1:16" x14ac:dyDescent="0.25">
      <c r="A366" s="4" t="s">
        <v>246</v>
      </c>
      <c r="B366" s="4" t="s">
        <v>25</v>
      </c>
      <c r="C366" s="4" t="s">
        <v>25</v>
      </c>
      <c r="D366" s="4" t="s">
        <v>25</v>
      </c>
      <c r="E366" s="4" t="s">
        <v>25</v>
      </c>
      <c r="F366" s="4" t="s">
        <v>25</v>
      </c>
      <c r="G366" s="4" t="s">
        <v>25</v>
      </c>
      <c r="H366" s="4"/>
      <c r="I366" s="4"/>
      <c r="J366" s="4"/>
      <c r="K366" s="4"/>
      <c r="L366" s="4"/>
      <c r="M366" s="4"/>
      <c r="N366" s="4"/>
      <c r="O366" s="4"/>
      <c r="P366" s="4"/>
    </row>
    <row r="367" spans="1:16" x14ac:dyDescent="0.25">
      <c r="A367" s="4" t="s">
        <v>247</v>
      </c>
      <c r="B367" s="4" t="s">
        <v>25</v>
      </c>
      <c r="C367" s="4" t="s">
        <v>25</v>
      </c>
      <c r="D367" s="4" t="s">
        <v>25</v>
      </c>
      <c r="E367" s="4" t="s">
        <v>25</v>
      </c>
      <c r="F367" s="4" t="s">
        <v>25</v>
      </c>
      <c r="G367" s="4" t="s">
        <v>25</v>
      </c>
      <c r="H367" s="4"/>
      <c r="I367" s="4"/>
      <c r="J367" s="4"/>
      <c r="K367" s="4"/>
      <c r="L367" s="4"/>
      <c r="M367" s="4"/>
      <c r="N367" s="4"/>
      <c r="O367" s="4"/>
      <c r="P367" s="4"/>
    </row>
    <row r="368" spans="1:16" x14ac:dyDescent="0.25">
      <c r="A368" s="4" t="s">
        <v>248</v>
      </c>
      <c r="B368" s="3">
        <v>0.56180555555555556</v>
      </c>
      <c r="C368" s="3">
        <v>0.59375</v>
      </c>
      <c r="D368" s="3">
        <v>0.63541666666666663</v>
      </c>
      <c r="E368" s="3">
        <v>0.92152777777777783</v>
      </c>
      <c r="F368" s="4"/>
      <c r="G368" s="4"/>
      <c r="H368" s="3">
        <v>0.33333333333333331</v>
      </c>
      <c r="I368" s="3">
        <v>0.31805555555555554</v>
      </c>
      <c r="J368" s="4"/>
      <c r="K368" s="4"/>
      <c r="L368" s="4"/>
      <c r="M368" s="4"/>
      <c r="N368" s="3">
        <v>4.8611111111111112E-3</v>
      </c>
      <c r="O368" s="3">
        <v>1.5277777777777777E-2</v>
      </c>
      <c r="P368" s="4"/>
    </row>
    <row r="369" spans="1:16" x14ac:dyDescent="0.25">
      <c r="A369" s="4" t="s">
        <v>249</v>
      </c>
      <c r="B369" s="3">
        <v>0.50416666666666665</v>
      </c>
      <c r="C369" s="3">
        <v>0.57152777777777775</v>
      </c>
      <c r="D369" s="4" t="s">
        <v>52</v>
      </c>
      <c r="E369" s="4" t="s">
        <v>52</v>
      </c>
      <c r="F369" s="4"/>
      <c r="G369" s="4"/>
      <c r="H369" s="3">
        <v>0.375</v>
      </c>
      <c r="I369" s="3">
        <v>0.375</v>
      </c>
      <c r="J369" s="3">
        <v>0.30763888888888891</v>
      </c>
      <c r="K369" s="4"/>
      <c r="L369" s="4"/>
      <c r="M369" s="4"/>
      <c r="N369" s="4"/>
      <c r="O369" s="4"/>
      <c r="P369" s="4"/>
    </row>
    <row r="370" spans="1:16" x14ac:dyDescent="0.25">
      <c r="A370" s="4" t="s">
        <v>251</v>
      </c>
      <c r="B370" s="4" t="s">
        <v>52</v>
      </c>
      <c r="C370" s="4" t="s">
        <v>52</v>
      </c>
      <c r="D370" s="4" t="s">
        <v>52</v>
      </c>
      <c r="E370" s="4" t="s">
        <v>52</v>
      </c>
      <c r="F370" s="4"/>
      <c r="G370" s="4"/>
      <c r="H370" s="3">
        <v>0.375</v>
      </c>
      <c r="I370" s="3">
        <v>0.375</v>
      </c>
      <c r="J370" s="3">
        <v>0.375</v>
      </c>
      <c r="K370" s="4"/>
      <c r="L370" s="4"/>
      <c r="M370" s="4"/>
      <c r="N370" s="4"/>
      <c r="O370" s="4"/>
      <c r="P370" s="4"/>
    </row>
    <row r="371" spans="1:16" x14ac:dyDescent="0.25">
      <c r="A371" s="4" t="s">
        <v>256</v>
      </c>
      <c r="B371" s="4" t="s">
        <v>52</v>
      </c>
      <c r="C371" s="4" t="s">
        <v>52</v>
      </c>
      <c r="D371" s="4" t="s">
        <v>52</v>
      </c>
      <c r="E371" s="4" t="s">
        <v>52</v>
      </c>
      <c r="F371" s="4"/>
      <c r="G371" s="4"/>
      <c r="H371" s="3">
        <v>0.375</v>
      </c>
      <c r="I371" s="3">
        <v>0.375</v>
      </c>
      <c r="J371" s="3">
        <v>0.375</v>
      </c>
      <c r="K371" s="4"/>
      <c r="L371" s="4"/>
      <c r="M371" s="4"/>
      <c r="N371" s="4"/>
      <c r="O371" s="4"/>
      <c r="P371" s="4"/>
    </row>
    <row r="372" spans="1:16" x14ac:dyDescent="0.25">
      <c r="A372" s="4" t="s">
        <v>259</v>
      </c>
      <c r="B372" s="3">
        <v>0.50555555555555554</v>
      </c>
      <c r="C372" s="3">
        <v>0.55555555555555558</v>
      </c>
      <c r="D372" s="3">
        <v>0.60277777777777775</v>
      </c>
      <c r="E372" s="3">
        <v>0.92291666666666661</v>
      </c>
      <c r="F372" s="4"/>
      <c r="G372" s="4"/>
      <c r="H372" s="3">
        <v>0.375</v>
      </c>
      <c r="I372" s="3">
        <v>0.375</v>
      </c>
      <c r="J372" s="4"/>
      <c r="K372" s="4"/>
      <c r="L372" s="4"/>
      <c r="M372" s="4"/>
      <c r="N372" s="3">
        <v>6.2499999999999995E-3</v>
      </c>
      <c r="O372" s="4"/>
      <c r="P372" s="4"/>
    </row>
    <row r="373" spans="1:16" x14ac:dyDescent="0.25">
      <c r="A373" s="4" t="s">
        <v>260</v>
      </c>
      <c r="B373" s="4" t="s">
        <v>25</v>
      </c>
      <c r="C373" s="4" t="s">
        <v>25</v>
      </c>
      <c r="D373" s="4" t="s">
        <v>25</v>
      </c>
      <c r="E373" s="4" t="s">
        <v>25</v>
      </c>
      <c r="F373" s="4" t="s">
        <v>25</v>
      </c>
      <c r="G373" s="4" t="s">
        <v>25</v>
      </c>
      <c r="H373" s="4"/>
      <c r="I373" s="4"/>
      <c r="J373" s="4"/>
      <c r="K373" s="4"/>
      <c r="L373" s="4"/>
      <c r="M373" s="4"/>
      <c r="N373" s="4"/>
      <c r="O373" s="4"/>
      <c r="P373" s="4"/>
    </row>
    <row r="374" spans="1:16" x14ac:dyDescent="0.25">
      <c r="A374" s="4" t="s">
        <v>261</v>
      </c>
      <c r="B374" s="4" t="s">
        <v>25</v>
      </c>
      <c r="C374" s="4" t="s">
        <v>25</v>
      </c>
      <c r="D374" s="4" t="s">
        <v>25</v>
      </c>
      <c r="E374" s="4" t="s">
        <v>25</v>
      </c>
      <c r="F374" s="4" t="s">
        <v>25</v>
      </c>
      <c r="G374" s="4" t="s">
        <v>25</v>
      </c>
      <c r="H374" s="4"/>
      <c r="I374" s="4"/>
      <c r="J374" s="4"/>
      <c r="K374" s="4"/>
      <c r="L374" s="4"/>
      <c r="M374" s="4"/>
      <c r="N374" s="4"/>
      <c r="O374" s="4"/>
      <c r="P374" s="4"/>
    </row>
    <row r="375" spans="1:16" x14ac:dyDescent="0.25">
      <c r="A375" s="4" t="s">
        <v>262</v>
      </c>
      <c r="B375" s="3">
        <v>0.54305555555555551</v>
      </c>
      <c r="C375" s="3">
        <v>0.59583333333333333</v>
      </c>
      <c r="D375" s="3">
        <v>0.63680555555555551</v>
      </c>
      <c r="E375" s="3">
        <v>0.92291666666666661</v>
      </c>
      <c r="F375" s="4"/>
      <c r="G375" s="4"/>
      <c r="H375" s="3">
        <v>0.33333333333333331</v>
      </c>
      <c r="I375" s="3">
        <v>0.33333333333333331</v>
      </c>
      <c r="J375" s="4"/>
      <c r="K375" s="4"/>
      <c r="L375" s="4"/>
      <c r="M375" s="4"/>
      <c r="N375" s="3">
        <v>6.2499999999999995E-3</v>
      </c>
      <c r="O375" s="4"/>
      <c r="P375" s="3">
        <v>6.9444444444444441E-3</v>
      </c>
    </row>
    <row r="376" spans="1:16" x14ac:dyDescent="0.25">
      <c r="A376" s="4" t="s">
        <v>263</v>
      </c>
      <c r="B376" s="3">
        <v>0.51458333333333328</v>
      </c>
      <c r="C376" s="3">
        <v>0.56597222222222221</v>
      </c>
      <c r="D376" s="3">
        <v>0.61041666666666672</v>
      </c>
      <c r="E376" s="3">
        <v>0.9194444444444444</v>
      </c>
      <c r="F376" s="4"/>
      <c r="G376" s="4"/>
      <c r="H376" s="3">
        <v>0.375</v>
      </c>
      <c r="I376" s="3">
        <v>0.3576388888888889</v>
      </c>
      <c r="J376" s="4"/>
      <c r="K376" s="4"/>
      <c r="L376" s="4"/>
      <c r="M376" s="4"/>
      <c r="N376" s="4"/>
      <c r="O376" s="3">
        <v>1.7361111111111112E-2</v>
      </c>
      <c r="P376" s="4"/>
    </row>
    <row r="377" spans="1:16" x14ac:dyDescent="0.25">
      <c r="A377" s="4" t="s">
        <v>264</v>
      </c>
      <c r="B377" s="3">
        <v>0.51041666666666663</v>
      </c>
      <c r="C377" s="3">
        <v>0.57361111111111118</v>
      </c>
      <c r="D377" s="3">
        <v>0.61458333333333337</v>
      </c>
      <c r="E377" s="3">
        <v>0.92222222222222217</v>
      </c>
      <c r="F377" s="4"/>
      <c r="G377" s="4"/>
      <c r="H377" s="3">
        <v>0.375</v>
      </c>
      <c r="I377" s="3">
        <v>0.375</v>
      </c>
      <c r="J377" s="4"/>
      <c r="K377" s="4"/>
      <c r="L377" s="4"/>
      <c r="M377" s="4"/>
      <c r="N377" s="3">
        <v>5.5555555555555558E-3</v>
      </c>
      <c r="O377" s="4"/>
      <c r="P377" s="4"/>
    </row>
    <row r="379" spans="1:16" x14ac:dyDescent="0.25">
      <c r="A379" s="7" t="s">
        <v>45</v>
      </c>
    </row>
    <row r="382" spans="1:16" x14ac:dyDescent="0.25">
      <c r="A382" s="7" t="s">
        <v>46</v>
      </c>
    </row>
    <row r="383" spans="1:16" x14ac:dyDescent="0.25">
      <c r="A383" s="7" t="s">
        <v>62</v>
      </c>
      <c r="F383" s="7" t="s">
        <v>47</v>
      </c>
    </row>
    <row r="384" spans="1:16" x14ac:dyDescent="0.25">
      <c r="F384" s="7"/>
    </row>
    <row r="388" spans="1:16" x14ac:dyDescent="0.25">
      <c r="G388" s="1" t="s">
        <v>18</v>
      </c>
    </row>
    <row r="389" spans="1:16" x14ac:dyDescent="0.25">
      <c r="A389" s="1" t="s">
        <v>1</v>
      </c>
      <c r="B389" t="s">
        <v>2</v>
      </c>
      <c r="H389" s="1" t="s">
        <v>19</v>
      </c>
      <c r="I389" s="1" t="s">
        <v>20</v>
      </c>
      <c r="J389" s="1" t="s">
        <v>21</v>
      </c>
      <c r="K389" s="1" t="s">
        <v>22</v>
      </c>
      <c r="L389" s="1" t="s">
        <v>23</v>
      </c>
      <c r="M389" s="1" t="s">
        <v>24</v>
      </c>
    </row>
    <row r="390" spans="1:16" x14ac:dyDescent="0.25">
      <c r="A390" s="1" t="s">
        <v>3</v>
      </c>
      <c r="B390" t="s">
        <v>4</v>
      </c>
      <c r="G390" s="1" t="s">
        <v>220</v>
      </c>
      <c r="H390" s="3">
        <v>0.375</v>
      </c>
      <c r="I390" s="3">
        <v>0.5</v>
      </c>
      <c r="J390" s="3">
        <v>0.54166666666666663</v>
      </c>
      <c r="K390" s="3">
        <v>0.75</v>
      </c>
      <c r="L390" s="4"/>
      <c r="M390" s="4"/>
    </row>
    <row r="391" spans="1:16" x14ac:dyDescent="0.25">
      <c r="A391" s="1" t="s">
        <v>5</v>
      </c>
      <c r="B391" t="s">
        <v>6</v>
      </c>
      <c r="G391" s="1" t="s">
        <v>221</v>
      </c>
      <c r="H391" s="3">
        <v>0.375</v>
      </c>
      <c r="I391" s="3">
        <v>0.5</v>
      </c>
      <c r="J391" s="3">
        <v>0.54166666666666663</v>
      </c>
      <c r="K391" s="3">
        <v>0.79166666666666663</v>
      </c>
      <c r="L391" s="4"/>
      <c r="M391" s="4"/>
    </row>
    <row r="392" spans="1:16" x14ac:dyDescent="0.25">
      <c r="G392" s="1" t="s">
        <v>222</v>
      </c>
      <c r="H392" s="3">
        <v>0.375</v>
      </c>
      <c r="I392" s="3">
        <v>0.5</v>
      </c>
      <c r="J392" s="3">
        <v>0.54166666666666663</v>
      </c>
      <c r="K392" s="3">
        <v>0.79166666666666663</v>
      </c>
      <c r="L392" s="4"/>
      <c r="M392" s="4"/>
    </row>
    <row r="393" spans="1:16" x14ac:dyDescent="0.25">
      <c r="A393" s="1" t="s">
        <v>7</v>
      </c>
      <c r="B393" t="s">
        <v>64</v>
      </c>
      <c r="G393" s="1" t="s">
        <v>223</v>
      </c>
      <c r="H393" s="3">
        <v>0.375</v>
      </c>
      <c r="I393" s="3">
        <v>0.5</v>
      </c>
      <c r="J393" s="3">
        <v>0.54166666666666663</v>
      </c>
      <c r="K393" s="3">
        <v>0.79166666666666663</v>
      </c>
      <c r="L393" s="4"/>
      <c r="M393" s="4"/>
    </row>
    <row r="394" spans="1:16" x14ac:dyDescent="0.25">
      <c r="A394" s="1" t="s">
        <v>9</v>
      </c>
      <c r="B394" t="s">
        <v>65</v>
      </c>
      <c r="D394" s="1" t="s">
        <v>11</v>
      </c>
      <c r="E394" t="s">
        <v>65</v>
      </c>
      <c r="G394" s="1" t="s">
        <v>224</v>
      </c>
      <c r="H394" s="3">
        <v>0.375</v>
      </c>
      <c r="I394" s="3">
        <v>0.5</v>
      </c>
      <c r="J394" s="3">
        <v>0.54166666666666663</v>
      </c>
      <c r="K394" s="3">
        <v>0.79166666666666663</v>
      </c>
      <c r="L394" s="4"/>
      <c r="M394" s="4"/>
    </row>
    <row r="395" spans="1:16" x14ac:dyDescent="0.25">
      <c r="A395" s="1" t="s">
        <v>12</v>
      </c>
      <c r="D395" s="1" t="s">
        <v>13</v>
      </c>
      <c r="E395" s="2">
        <v>42278</v>
      </c>
      <c r="G395" s="1" t="s">
        <v>225</v>
      </c>
      <c r="H395" s="4" t="s">
        <v>25</v>
      </c>
      <c r="I395" s="4" t="s">
        <v>25</v>
      </c>
      <c r="J395" s="4" t="s">
        <v>25</v>
      </c>
      <c r="K395" s="4" t="s">
        <v>25</v>
      </c>
      <c r="L395" s="4" t="s">
        <v>25</v>
      </c>
      <c r="M395" s="4" t="s">
        <v>25</v>
      </c>
    </row>
    <row r="396" spans="1:16" x14ac:dyDescent="0.25">
      <c r="A396" s="1" t="s">
        <v>14</v>
      </c>
      <c r="B396" t="s">
        <v>58</v>
      </c>
      <c r="G396" s="1" t="s">
        <v>226</v>
      </c>
      <c r="H396" s="4" t="s">
        <v>25</v>
      </c>
      <c r="I396" s="4" t="s">
        <v>25</v>
      </c>
      <c r="J396" s="4" t="s">
        <v>25</v>
      </c>
      <c r="K396" s="4" t="s">
        <v>25</v>
      </c>
      <c r="L396" s="4" t="s">
        <v>25</v>
      </c>
      <c r="M396" s="4" t="s">
        <v>25</v>
      </c>
    </row>
    <row r="397" spans="1:16" x14ac:dyDescent="0.25">
      <c r="A397" s="1" t="s">
        <v>16</v>
      </c>
      <c r="B397" t="s">
        <v>17</v>
      </c>
    </row>
    <row r="400" spans="1:16" x14ac:dyDescent="0.25">
      <c r="A400" s="5" t="s">
        <v>26</v>
      </c>
      <c r="B400" s="5" t="s">
        <v>27</v>
      </c>
      <c r="C400" s="5" t="s">
        <v>28</v>
      </c>
      <c r="D400" s="5" t="s">
        <v>29</v>
      </c>
      <c r="E400" s="5" t="s">
        <v>30</v>
      </c>
      <c r="F400" s="5" t="s">
        <v>31</v>
      </c>
      <c r="G400" s="5" t="s">
        <v>32</v>
      </c>
      <c r="H400" s="5" t="s">
        <v>33</v>
      </c>
      <c r="I400" s="5" t="s">
        <v>34</v>
      </c>
      <c r="J400" s="5" t="s">
        <v>35</v>
      </c>
      <c r="K400" s="5" t="s">
        <v>36</v>
      </c>
      <c r="L400" s="5" t="s">
        <v>37</v>
      </c>
      <c r="M400" s="5" t="s">
        <v>38</v>
      </c>
      <c r="N400" s="5" t="s">
        <v>39</v>
      </c>
      <c r="O400" s="5" t="s">
        <v>40</v>
      </c>
      <c r="P400" s="5" t="s">
        <v>41</v>
      </c>
    </row>
    <row r="401" spans="1:16" x14ac:dyDescent="0.25">
      <c r="A401" s="4"/>
      <c r="B401" s="4"/>
      <c r="C401" s="4"/>
      <c r="D401" s="4"/>
      <c r="E401" s="4"/>
      <c r="F401" s="4"/>
      <c r="G401" s="4"/>
      <c r="H401" s="6">
        <v>8.0416666666666661</v>
      </c>
      <c r="I401" s="6">
        <v>8.0416666666666661</v>
      </c>
      <c r="J401" s="6">
        <v>4.2562500000000005</v>
      </c>
      <c r="K401" s="3">
        <v>0</v>
      </c>
      <c r="L401" s="3">
        <v>0</v>
      </c>
      <c r="M401" s="3">
        <v>0</v>
      </c>
      <c r="N401" s="3">
        <v>0</v>
      </c>
      <c r="O401" s="3">
        <v>0</v>
      </c>
      <c r="P401" s="3">
        <v>7.2222222222222229E-2</v>
      </c>
    </row>
    <row r="402" spans="1:16" x14ac:dyDescent="0.25">
      <c r="A402" s="4" t="s">
        <v>227</v>
      </c>
      <c r="B402" s="4" t="s">
        <v>55</v>
      </c>
      <c r="C402" s="4" t="s">
        <v>55</v>
      </c>
      <c r="D402" s="4" t="s">
        <v>55</v>
      </c>
      <c r="E402" s="4" t="s">
        <v>55</v>
      </c>
      <c r="F402" s="4"/>
      <c r="G402" s="4"/>
      <c r="H402" s="3">
        <v>0.33333333333333331</v>
      </c>
      <c r="I402" s="3">
        <v>0.33333333333333331</v>
      </c>
      <c r="J402" s="3">
        <v>0.33333333333333331</v>
      </c>
      <c r="K402" s="4"/>
      <c r="L402" s="4"/>
      <c r="M402" s="4"/>
      <c r="N402" s="4"/>
      <c r="O402" s="4"/>
      <c r="P402" s="4"/>
    </row>
    <row r="403" spans="1:16" x14ac:dyDescent="0.25">
      <c r="A403" s="4" t="s">
        <v>228</v>
      </c>
      <c r="B403" s="4" t="s">
        <v>55</v>
      </c>
      <c r="C403" s="4" t="s">
        <v>55</v>
      </c>
      <c r="D403" s="4" t="s">
        <v>55</v>
      </c>
      <c r="E403" s="4" t="s">
        <v>55</v>
      </c>
      <c r="F403" s="4"/>
      <c r="G403" s="4"/>
      <c r="H403" s="3">
        <v>0.375</v>
      </c>
      <c r="I403" s="3">
        <v>0.375</v>
      </c>
      <c r="J403" s="3">
        <v>0.375</v>
      </c>
      <c r="K403" s="4"/>
      <c r="L403" s="4"/>
      <c r="M403" s="4"/>
      <c r="N403" s="4"/>
      <c r="O403" s="4"/>
      <c r="P403" s="4"/>
    </row>
    <row r="404" spans="1:16" x14ac:dyDescent="0.25">
      <c r="A404" s="4" t="s">
        <v>229</v>
      </c>
      <c r="B404" s="4" t="s">
        <v>55</v>
      </c>
      <c r="C404" s="4" t="s">
        <v>55</v>
      </c>
      <c r="D404" s="4" t="s">
        <v>55</v>
      </c>
      <c r="E404" s="4" t="s">
        <v>55</v>
      </c>
      <c r="F404" s="4"/>
      <c r="G404" s="4"/>
      <c r="H404" s="3">
        <v>0.375</v>
      </c>
      <c r="I404" s="3">
        <v>0.375</v>
      </c>
      <c r="J404" s="3">
        <v>0.375</v>
      </c>
      <c r="K404" s="4"/>
      <c r="L404" s="4"/>
      <c r="M404" s="4"/>
      <c r="N404" s="4"/>
      <c r="O404" s="4"/>
      <c r="P404" s="4"/>
    </row>
    <row r="405" spans="1:16" x14ac:dyDescent="0.25">
      <c r="A405" s="4" t="s">
        <v>230</v>
      </c>
      <c r="B405" s="4" t="s">
        <v>55</v>
      </c>
      <c r="C405" s="4" t="s">
        <v>55</v>
      </c>
      <c r="D405" s="4" t="s">
        <v>55</v>
      </c>
      <c r="E405" s="4" t="s">
        <v>55</v>
      </c>
      <c r="F405" s="4"/>
      <c r="G405" s="4"/>
      <c r="H405" s="3">
        <v>0.375</v>
      </c>
      <c r="I405" s="3">
        <v>0.375</v>
      </c>
      <c r="J405" s="3">
        <v>0.375</v>
      </c>
      <c r="K405" s="4"/>
      <c r="L405" s="4"/>
      <c r="M405" s="4"/>
      <c r="N405" s="4"/>
      <c r="O405" s="4"/>
      <c r="P405" s="4"/>
    </row>
    <row r="406" spans="1:16" x14ac:dyDescent="0.25">
      <c r="A406" s="4" t="s">
        <v>231</v>
      </c>
      <c r="B406" s="4" t="s">
        <v>55</v>
      </c>
      <c r="C406" s="4" t="s">
        <v>55</v>
      </c>
      <c r="D406" s="4" t="s">
        <v>55</v>
      </c>
      <c r="E406" s="4" t="s">
        <v>55</v>
      </c>
      <c r="F406" s="4"/>
      <c r="G406" s="4"/>
      <c r="H406" s="3">
        <v>0.375</v>
      </c>
      <c r="I406" s="3">
        <v>0.375</v>
      </c>
      <c r="J406" s="3">
        <v>0.375</v>
      </c>
      <c r="K406" s="4"/>
      <c r="L406" s="4"/>
      <c r="M406" s="4"/>
      <c r="N406" s="4"/>
      <c r="O406" s="4"/>
      <c r="P406" s="4"/>
    </row>
    <row r="407" spans="1:16" x14ac:dyDescent="0.25">
      <c r="A407" s="4" t="s">
        <v>232</v>
      </c>
      <c r="B407" s="4" t="s">
        <v>55</v>
      </c>
      <c r="C407" s="4" t="s">
        <v>55</v>
      </c>
      <c r="D407" s="4" t="s">
        <v>55</v>
      </c>
      <c r="E407" s="4" t="s">
        <v>55</v>
      </c>
      <c r="F407" s="4"/>
      <c r="G407" s="4"/>
      <c r="H407" s="4"/>
      <c r="I407" s="4"/>
      <c r="J407" s="4"/>
      <c r="K407" s="4"/>
      <c r="L407" s="4"/>
      <c r="M407" s="4"/>
      <c r="N407" s="4"/>
      <c r="O407" s="4"/>
      <c r="P407" s="4"/>
    </row>
    <row r="408" spans="1:16" x14ac:dyDescent="0.25">
      <c r="A408" s="4" t="s">
        <v>233</v>
      </c>
      <c r="B408" s="4" t="s">
        <v>55</v>
      </c>
      <c r="C408" s="4" t="s">
        <v>55</v>
      </c>
      <c r="D408" s="4" t="s">
        <v>55</v>
      </c>
      <c r="E408" s="4" t="s">
        <v>55</v>
      </c>
      <c r="F408" s="4"/>
      <c r="G408" s="4"/>
      <c r="H408" s="4"/>
      <c r="I408" s="4"/>
      <c r="J408" s="4"/>
      <c r="K408" s="4"/>
      <c r="L408" s="4"/>
      <c r="M408" s="4"/>
      <c r="N408" s="4"/>
      <c r="O408" s="4"/>
      <c r="P408" s="4"/>
    </row>
    <row r="409" spans="1:16" x14ac:dyDescent="0.25">
      <c r="A409" s="4" t="s">
        <v>234</v>
      </c>
      <c r="B409" s="4" t="s">
        <v>55</v>
      </c>
      <c r="C409" s="4" t="s">
        <v>55</v>
      </c>
      <c r="D409" s="4" t="s">
        <v>55</v>
      </c>
      <c r="E409" s="4" t="s">
        <v>55</v>
      </c>
      <c r="F409" s="4"/>
      <c r="G409" s="4"/>
      <c r="H409" s="3">
        <v>0.33333333333333331</v>
      </c>
      <c r="I409" s="3">
        <v>0.33333333333333331</v>
      </c>
      <c r="J409" s="3">
        <v>0.33333333333333331</v>
      </c>
      <c r="K409" s="4"/>
      <c r="L409" s="4"/>
      <c r="M409" s="4"/>
      <c r="N409" s="4"/>
      <c r="O409" s="4"/>
      <c r="P409" s="4"/>
    </row>
    <row r="410" spans="1:16" x14ac:dyDescent="0.25">
      <c r="A410" s="4" t="s">
        <v>235</v>
      </c>
      <c r="B410" s="4" t="s">
        <v>55</v>
      </c>
      <c r="C410" s="4" t="s">
        <v>55</v>
      </c>
      <c r="D410" s="4" t="s">
        <v>55</v>
      </c>
      <c r="E410" s="4" t="s">
        <v>55</v>
      </c>
      <c r="F410" s="4"/>
      <c r="G410" s="4"/>
      <c r="H410" s="3">
        <v>0.375</v>
      </c>
      <c r="I410" s="3">
        <v>0.375</v>
      </c>
      <c r="J410" s="3">
        <v>0.375</v>
      </c>
      <c r="K410" s="4"/>
      <c r="L410" s="4"/>
      <c r="M410" s="4"/>
      <c r="N410" s="4"/>
      <c r="O410" s="4"/>
      <c r="P410" s="4"/>
    </row>
    <row r="411" spans="1:16" x14ac:dyDescent="0.25">
      <c r="A411" s="4" t="s">
        <v>236</v>
      </c>
      <c r="B411" s="4" t="s">
        <v>55</v>
      </c>
      <c r="C411" s="4" t="s">
        <v>55</v>
      </c>
      <c r="D411" s="4" t="s">
        <v>55</v>
      </c>
      <c r="E411" s="4" t="s">
        <v>55</v>
      </c>
      <c r="F411" s="4"/>
      <c r="G411" s="4"/>
      <c r="H411" s="3">
        <v>0.375</v>
      </c>
      <c r="I411" s="3">
        <v>0.375</v>
      </c>
      <c r="J411" s="3">
        <v>0.375</v>
      </c>
      <c r="K411" s="4"/>
      <c r="L411" s="4"/>
      <c r="M411" s="4"/>
      <c r="N411" s="4"/>
      <c r="O411" s="4"/>
      <c r="P411" s="4"/>
    </row>
    <row r="412" spans="1:16" x14ac:dyDescent="0.25">
      <c r="A412" s="4" t="s">
        <v>237</v>
      </c>
      <c r="B412" s="3">
        <v>0.37361111111111112</v>
      </c>
      <c r="C412" s="3">
        <v>0.54027777777777775</v>
      </c>
      <c r="D412" s="3">
        <v>0.58124999999999993</v>
      </c>
      <c r="E412" s="3">
        <v>0.79791666666666661</v>
      </c>
      <c r="F412" s="4"/>
      <c r="G412" s="4"/>
      <c r="H412" s="3">
        <v>0.375</v>
      </c>
      <c r="I412" s="3">
        <v>0.375</v>
      </c>
      <c r="J412" s="4"/>
      <c r="K412" s="4"/>
      <c r="L412" s="4"/>
      <c r="M412" s="4"/>
      <c r="N412" s="4"/>
      <c r="O412" s="4"/>
      <c r="P412" s="3">
        <v>6.9444444444444441E-3</v>
      </c>
    </row>
    <row r="413" spans="1:16" x14ac:dyDescent="0.25">
      <c r="A413" s="4" t="s">
        <v>238</v>
      </c>
      <c r="B413" s="3">
        <v>0.375</v>
      </c>
      <c r="C413" s="3">
        <v>0.55763888888888891</v>
      </c>
      <c r="D413" s="3">
        <v>0.60625000000000007</v>
      </c>
      <c r="E413" s="3">
        <v>0.81111111111111101</v>
      </c>
      <c r="F413" s="4"/>
      <c r="G413" s="4"/>
      <c r="H413" s="3">
        <v>0.375</v>
      </c>
      <c r="I413" s="3">
        <v>0.375</v>
      </c>
      <c r="J413" s="4"/>
      <c r="K413" s="4"/>
      <c r="L413" s="4"/>
      <c r="M413" s="4"/>
      <c r="N413" s="4"/>
      <c r="O413" s="4"/>
      <c r="P413" s="3">
        <v>1.2499999999999999E-2</v>
      </c>
    </row>
    <row r="414" spans="1:16" x14ac:dyDescent="0.25">
      <c r="A414" s="4" t="s">
        <v>239</v>
      </c>
      <c r="B414" s="4" t="s">
        <v>25</v>
      </c>
      <c r="C414" s="4" t="s">
        <v>25</v>
      </c>
      <c r="D414" s="4" t="s">
        <v>25</v>
      </c>
      <c r="E414" s="4" t="s">
        <v>25</v>
      </c>
      <c r="F414" s="4" t="s">
        <v>25</v>
      </c>
      <c r="G414" s="4" t="s">
        <v>25</v>
      </c>
      <c r="H414" s="4"/>
      <c r="I414" s="4"/>
      <c r="J414" s="4"/>
      <c r="K414" s="4"/>
      <c r="L414" s="4"/>
      <c r="M414" s="4"/>
      <c r="N414" s="4"/>
      <c r="O414" s="4"/>
      <c r="P414" s="4"/>
    </row>
    <row r="415" spans="1:16" x14ac:dyDescent="0.25">
      <c r="A415" s="4" t="s">
        <v>240</v>
      </c>
      <c r="B415" s="4" t="s">
        <v>25</v>
      </c>
      <c r="C415" s="4" t="s">
        <v>25</v>
      </c>
      <c r="D415" s="4" t="s">
        <v>25</v>
      </c>
      <c r="E415" s="4" t="s">
        <v>25</v>
      </c>
      <c r="F415" s="4" t="s">
        <v>25</v>
      </c>
      <c r="G415" s="4" t="s">
        <v>25</v>
      </c>
      <c r="H415" s="4"/>
      <c r="I415" s="4"/>
      <c r="J415" s="4"/>
      <c r="K415" s="4"/>
      <c r="L415" s="4"/>
      <c r="M415" s="4"/>
      <c r="N415" s="4"/>
      <c r="O415" s="4"/>
      <c r="P415" s="4"/>
    </row>
    <row r="416" spans="1:16" x14ac:dyDescent="0.25">
      <c r="A416" s="4" t="s">
        <v>241</v>
      </c>
      <c r="B416" s="3">
        <v>0.37847222222222227</v>
      </c>
      <c r="C416" s="3">
        <v>0.5493055555555556</v>
      </c>
      <c r="D416" s="3">
        <v>0.59444444444444444</v>
      </c>
      <c r="E416" s="3">
        <v>0.77013888888888893</v>
      </c>
      <c r="F416" s="4"/>
      <c r="G416" s="4"/>
      <c r="H416" s="3">
        <v>0.33333333333333331</v>
      </c>
      <c r="I416" s="3">
        <v>0.33333333333333331</v>
      </c>
      <c r="J416" s="4"/>
      <c r="K416" s="4"/>
      <c r="L416" s="4"/>
      <c r="M416" s="4"/>
      <c r="N416" s="4"/>
      <c r="O416" s="4"/>
      <c r="P416" s="3">
        <v>1.6666666666666666E-2</v>
      </c>
    </row>
    <row r="417" spans="1:16" x14ac:dyDescent="0.25">
      <c r="A417" s="4" t="s">
        <v>242</v>
      </c>
      <c r="B417" s="3">
        <v>0.37361111111111112</v>
      </c>
      <c r="C417" s="3">
        <v>0.53749999999999998</v>
      </c>
      <c r="D417" s="3">
        <v>0.57916666666666672</v>
      </c>
      <c r="E417" s="3">
        <v>0.79375000000000007</v>
      </c>
      <c r="F417" s="4"/>
      <c r="G417" s="4"/>
      <c r="H417" s="3">
        <v>0.375</v>
      </c>
      <c r="I417" s="3">
        <v>0.375</v>
      </c>
      <c r="J417" s="4"/>
      <c r="K417" s="4"/>
      <c r="L417" s="4"/>
      <c r="M417" s="4"/>
      <c r="N417" s="4"/>
      <c r="O417" s="4"/>
      <c r="P417" s="4"/>
    </row>
    <row r="418" spans="1:16" x14ac:dyDescent="0.25">
      <c r="A418" s="4" t="s">
        <v>243</v>
      </c>
      <c r="B418" s="3">
        <v>0.3743055555555555</v>
      </c>
      <c r="C418" s="3">
        <v>0.56111111111111112</v>
      </c>
      <c r="D418" s="3">
        <v>0.60277777777777775</v>
      </c>
      <c r="E418" s="3">
        <v>0.8125</v>
      </c>
      <c r="F418" s="4"/>
      <c r="G418" s="4"/>
      <c r="H418" s="3">
        <v>0.375</v>
      </c>
      <c r="I418" s="3">
        <v>0.375</v>
      </c>
      <c r="J418" s="4"/>
      <c r="K418" s="4"/>
      <c r="L418" s="4"/>
      <c r="M418" s="4"/>
      <c r="N418" s="4"/>
      <c r="O418" s="4"/>
      <c r="P418" s="3">
        <v>2.0833333333333332E-2</v>
      </c>
    </row>
    <row r="419" spans="1:16" x14ac:dyDescent="0.25">
      <c r="A419" s="4" t="s">
        <v>244</v>
      </c>
      <c r="B419" s="4" t="s">
        <v>265</v>
      </c>
      <c r="C419" s="4" t="s">
        <v>265</v>
      </c>
      <c r="D419" s="4" t="s">
        <v>265</v>
      </c>
      <c r="E419" s="4" t="s">
        <v>265</v>
      </c>
      <c r="F419" s="4"/>
      <c r="G419" s="4"/>
      <c r="H419" s="4"/>
      <c r="I419" s="4"/>
      <c r="J419" s="4"/>
      <c r="K419" s="4"/>
      <c r="L419" s="4"/>
      <c r="M419" s="4"/>
      <c r="N419" s="4"/>
      <c r="O419" s="4"/>
      <c r="P419" s="4"/>
    </row>
    <row r="420" spans="1:16" x14ac:dyDescent="0.25">
      <c r="A420" s="4" t="s">
        <v>245</v>
      </c>
      <c r="B420" s="4" t="s">
        <v>265</v>
      </c>
      <c r="C420" s="4" t="s">
        <v>265</v>
      </c>
      <c r="D420" s="4" t="s">
        <v>265</v>
      </c>
      <c r="E420" s="4" t="s">
        <v>265</v>
      </c>
      <c r="F420" s="4"/>
      <c r="G420" s="4"/>
      <c r="H420" s="3">
        <v>0.375</v>
      </c>
      <c r="I420" s="3">
        <v>0.375</v>
      </c>
      <c r="J420" s="3">
        <v>0.375</v>
      </c>
      <c r="K420" s="4"/>
      <c r="L420" s="4"/>
      <c r="M420" s="4"/>
      <c r="N420" s="4"/>
      <c r="O420" s="4"/>
      <c r="P420" s="4"/>
    </row>
    <row r="421" spans="1:16" x14ac:dyDescent="0.25">
      <c r="A421" s="4" t="s">
        <v>246</v>
      </c>
      <c r="B421" s="4" t="s">
        <v>25</v>
      </c>
      <c r="C421" s="4" t="s">
        <v>25</v>
      </c>
      <c r="D421" s="4" t="s">
        <v>25</v>
      </c>
      <c r="E421" s="4" t="s">
        <v>25</v>
      </c>
      <c r="F421" s="4" t="s">
        <v>25</v>
      </c>
      <c r="G421" s="4" t="s">
        <v>25</v>
      </c>
      <c r="H421" s="4"/>
      <c r="I421" s="4"/>
      <c r="J421" s="4"/>
      <c r="K421" s="4"/>
      <c r="L421" s="4"/>
      <c r="M421" s="4"/>
      <c r="N421" s="4"/>
      <c r="O421" s="4"/>
      <c r="P421" s="4"/>
    </row>
    <row r="422" spans="1:16" x14ac:dyDescent="0.25">
      <c r="A422" s="4" t="s">
        <v>247</v>
      </c>
      <c r="B422" s="4" t="s">
        <v>25</v>
      </c>
      <c r="C422" s="4" t="s">
        <v>25</v>
      </c>
      <c r="D422" s="4" t="s">
        <v>25</v>
      </c>
      <c r="E422" s="4" t="s">
        <v>25</v>
      </c>
      <c r="F422" s="4" t="s">
        <v>25</v>
      </c>
      <c r="G422" s="4" t="s">
        <v>25</v>
      </c>
      <c r="H422" s="4"/>
      <c r="I422" s="4"/>
      <c r="J422" s="4"/>
      <c r="K422" s="4"/>
      <c r="L422" s="4"/>
      <c r="M422" s="4"/>
      <c r="N422" s="4"/>
      <c r="O422" s="4"/>
      <c r="P422" s="4"/>
    </row>
    <row r="423" spans="1:16" x14ac:dyDescent="0.25">
      <c r="A423" s="4" t="s">
        <v>248</v>
      </c>
      <c r="B423" s="3">
        <v>0.38125000000000003</v>
      </c>
      <c r="C423" s="3">
        <v>0.52569444444444446</v>
      </c>
      <c r="D423" s="3">
        <v>0.56805555555555554</v>
      </c>
      <c r="E423" s="3">
        <v>0.75763888888888886</v>
      </c>
      <c r="F423" s="4"/>
      <c r="G423" s="4"/>
      <c r="H423" s="3">
        <v>0.33333333333333331</v>
      </c>
      <c r="I423" s="3">
        <v>0.33333333333333331</v>
      </c>
      <c r="J423" s="4"/>
      <c r="K423" s="4"/>
      <c r="L423" s="4"/>
      <c r="M423" s="4"/>
      <c r="N423" s="4"/>
      <c r="O423" s="4"/>
      <c r="P423" s="4"/>
    </row>
    <row r="424" spans="1:16" x14ac:dyDescent="0.25">
      <c r="A424" s="4" t="s">
        <v>249</v>
      </c>
      <c r="B424" s="3">
        <v>0.38055555555555554</v>
      </c>
      <c r="C424" s="3">
        <v>0.54097222222222219</v>
      </c>
      <c r="D424" s="4" t="s">
        <v>52</v>
      </c>
      <c r="E424" s="4" t="s">
        <v>52</v>
      </c>
      <c r="F424" s="4"/>
      <c r="G424" s="4"/>
      <c r="H424" s="3">
        <v>0.375</v>
      </c>
      <c r="I424" s="3">
        <v>0.375</v>
      </c>
      <c r="J424" s="3">
        <v>0.21458333333333335</v>
      </c>
      <c r="K424" s="4"/>
      <c r="L424" s="4"/>
      <c r="M424" s="4"/>
      <c r="N424" s="4"/>
      <c r="O424" s="4"/>
      <c r="P424" s="4"/>
    </row>
    <row r="425" spans="1:16" x14ac:dyDescent="0.25">
      <c r="A425" s="4" t="s">
        <v>251</v>
      </c>
      <c r="B425" s="4" t="s">
        <v>52</v>
      </c>
      <c r="C425" s="4" t="s">
        <v>52</v>
      </c>
      <c r="D425" s="4" t="s">
        <v>52</v>
      </c>
      <c r="E425" s="4" t="s">
        <v>52</v>
      </c>
      <c r="F425" s="4"/>
      <c r="G425" s="4"/>
      <c r="H425" s="3">
        <v>0.375</v>
      </c>
      <c r="I425" s="3">
        <v>0.375</v>
      </c>
      <c r="J425" s="3">
        <v>0.375</v>
      </c>
      <c r="K425" s="4"/>
      <c r="L425" s="4"/>
      <c r="M425" s="4"/>
      <c r="N425" s="4"/>
      <c r="O425" s="4"/>
      <c r="P425" s="4"/>
    </row>
    <row r="426" spans="1:16" x14ac:dyDescent="0.25">
      <c r="A426" s="4" t="s">
        <v>256</v>
      </c>
      <c r="B426" s="4" t="s">
        <v>52</v>
      </c>
      <c r="C426" s="4" t="s">
        <v>52</v>
      </c>
      <c r="D426" s="4" t="s">
        <v>52</v>
      </c>
      <c r="E426" s="4" t="s">
        <v>52</v>
      </c>
      <c r="F426" s="4"/>
      <c r="G426" s="4"/>
      <c r="H426" s="3">
        <v>0.375</v>
      </c>
      <c r="I426" s="3">
        <v>0.375</v>
      </c>
      <c r="J426" s="3">
        <v>0.375</v>
      </c>
      <c r="K426" s="4"/>
      <c r="L426" s="4"/>
      <c r="M426" s="4"/>
      <c r="N426" s="4"/>
      <c r="O426" s="4"/>
      <c r="P426" s="4"/>
    </row>
    <row r="427" spans="1:16" x14ac:dyDescent="0.25">
      <c r="A427" s="4" t="s">
        <v>259</v>
      </c>
      <c r="B427" s="3">
        <v>0.37986111111111115</v>
      </c>
      <c r="C427" s="3">
        <v>0.55486111111111114</v>
      </c>
      <c r="D427" s="3">
        <v>0.6</v>
      </c>
      <c r="E427" s="3">
        <v>0.81527777777777777</v>
      </c>
      <c r="F427" s="4"/>
      <c r="G427" s="4"/>
      <c r="H427" s="3">
        <v>0.375</v>
      </c>
      <c r="I427" s="3">
        <v>0.375</v>
      </c>
      <c r="J427" s="4"/>
      <c r="K427" s="4"/>
      <c r="L427" s="4"/>
      <c r="M427" s="4"/>
      <c r="N427" s="4"/>
      <c r="O427" s="4"/>
      <c r="P427" s="3">
        <v>1.5277777777777777E-2</v>
      </c>
    </row>
    <row r="428" spans="1:16" x14ac:dyDescent="0.25">
      <c r="A428" s="4" t="s">
        <v>260</v>
      </c>
      <c r="B428" s="4" t="s">
        <v>25</v>
      </c>
      <c r="C428" s="4" t="s">
        <v>25</v>
      </c>
      <c r="D428" s="4" t="s">
        <v>25</v>
      </c>
      <c r="E428" s="4" t="s">
        <v>25</v>
      </c>
      <c r="F428" s="4" t="s">
        <v>25</v>
      </c>
      <c r="G428" s="4" t="s">
        <v>25</v>
      </c>
      <c r="H428" s="4"/>
      <c r="I428" s="4"/>
      <c r="J428" s="4"/>
      <c r="K428" s="4"/>
      <c r="L428" s="4"/>
      <c r="M428" s="4"/>
      <c r="N428" s="4"/>
      <c r="O428" s="4"/>
      <c r="P428" s="4"/>
    </row>
    <row r="429" spans="1:16" x14ac:dyDescent="0.25">
      <c r="A429" s="4" t="s">
        <v>261</v>
      </c>
      <c r="B429" s="4" t="s">
        <v>25</v>
      </c>
      <c r="C429" s="4" t="s">
        <v>25</v>
      </c>
      <c r="D429" s="4" t="s">
        <v>25</v>
      </c>
      <c r="E429" s="4" t="s">
        <v>25</v>
      </c>
      <c r="F429" s="4" t="s">
        <v>25</v>
      </c>
      <c r="G429" s="4" t="s">
        <v>25</v>
      </c>
      <c r="H429" s="4"/>
      <c r="I429" s="4"/>
      <c r="J429" s="4"/>
      <c r="K429" s="4"/>
      <c r="L429" s="4"/>
      <c r="M429" s="4"/>
      <c r="N429" s="4"/>
      <c r="O429" s="4"/>
      <c r="P429" s="4"/>
    </row>
    <row r="430" spans="1:16" x14ac:dyDescent="0.25">
      <c r="A430" s="4" t="s">
        <v>262</v>
      </c>
      <c r="B430" s="3">
        <v>0.37222222222222223</v>
      </c>
      <c r="C430" s="3">
        <v>0.54791666666666672</v>
      </c>
      <c r="D430" s="3">
        <v>0.58888888888888891</v>
      </c>
      <c r="E430" s="3">
        <v>0.75208333333333333</v>
      </c>
      <c r="F430" s="4"/>
      <c r="G430" s="4"/>
      <c r="H430" s="3">
        <v>0.33333333333333331</v>
      </c>
      <c r="I430" s="3">
        <v>0.33333333333333331</v>
      </c>
      <c r="J430" s="4"/>
      <c r="K430" s="4"/>
      <c r="L430" s="4"/>
      <c r="M430" s="4"/>
      <c r="N430" s="4"/>
      <c r="O430" s="4"/>
      <c r="P430" s="4"/>
    </row>
    <row r="431" spans="1:16" x14ac:dyDescent="0.25">
      <c r="A431" s="4" t="s">
        <v>263</v>
      </c>
      <c r="B431" s="3">
        <v>0.38055555555555554</v>
      </c>
      <c r="C431" s="3">
        <v>0.53333333333333333</v>
      </c>
      <c r="D431" s="3">
        <v>0.5756944444444444</v>
      </c>
      <c r="E431" s="3">
        <v>0.79791666666666661</v>
      </c>
      <c r="F431" s="4"/>
      <c r="G431" s="4"/>
      <c r="H431" s="3">
        <v>0.375</v>
      </c>
      <c r="I431" s="3">
        <v>0.375</v>
      </c>
      <c r="J431" s="4"/>
      <c r="K431" s="4"/>
      <c r="L431" s="4"/>
      <c r="M431" s="4"/>
      <c r="N431" s="4"/>
      <c r="O431" s="4"/>
      <c r="P431" s="4"/>
    </row>
    <row r="432" spans="1:16" x14ac:dyDescent="0.25">
      <c r="A432" s="4" t="s">
        <v>264</v>
      </c>
      <c r="B432" s="3">
        <v>0.37708333333333338</v>
      </c>
      <c r="C432" s="3">
        <v>0.52916666666666667</v>
      </c>
      <c r="D432" s="3">
        <v>0.57361111111111118</v>
      </c>
      <c r="E432" s="3">
        <v>0.79722222222222217</v>
      </c>
      <c r="F432" s="4"/>
      <c r="G432" s="4"/>
      <c r="H432" s="3">
        <v>0.375</v>
      </c>
      <c r="I432" s="3">
        <v>0.375</v>
      </c>
      <c r="J432" s="4"/>
      <c r="K432" s="4"/>
      <c r="L432" s="4"/>
      <c r="M432" s="4"/>
      <c r="N432" s="4"/>
      <c r="O432" s="4"/>
      <c r="P432" s="4"/>
    </row>
    <row r="434" spans="1:13" x14ac:dyDescent="0.25">
      <c r="A434" s="7" t="s">
        <v>45</v>
      </c>
    </row>
    <row r="437" spans="1:13" x14ac:dyDescent="0.25">
      <c r="A437" s="7" t="s">
        <v>46</v>
      </c>
    </row>
    <row r="438" spans="1:13" x14ac:dyDescent="0.25">
      <c r="A438" s="7" t="s">
        <v>64</v>
      </c>
      <c r="F438" s="7" t="s">
        <v>47</v>
      </c>
    </row>
    <row r="439" spans="1:13" x14ac:dyDescent="0.25">
      <c r="F439" s="7"/>
    </row>
    <row r="443" spans="1:13" x14ac:dyDescent="0.25">
      <c r="G443" s="1" t="s">
        <v>18</v>
      </c>
    </row>
    <row r="444" spans="1:13" x14ac:dyDescent="0.25">
      <c r="A444" s="1" t="s">
        <v>1</v>
      </c>
      <c r="B444" t="s">
        <v>2</v>
      </c>
      <c r="H444" s="1" t="s">
        <v>19</v>
      </c>
      <c r="I444" s="1" t="s">
        <v>20</v>
      </c>
      <c r="J444" s="1" t="s">
        <v>21</v>
      </c>
      <c r="K444" s="1" t="s">
        <v>22</v>
      </c>
      <c r="L444" s="1" t="s">
        <v>23</v>
      </c>
      <c r="M444" s="1" t="s">
        <v>24</v>
      </c>
    </row>
    <row r="445" spans="1:13" x14ac:dyDescent="0.25">
      <c r="A445" s="1" t="s">
        <v>3</v>
      </c>
      <c r="B445" t="s">
        <v>4</v>
      </c>
      <c r="G445" s="1" t="s">
        <v>220</v>
      </c>
      <c r="H445" s="3">
        <v>0.41666666666666669</v>
      </c>
      <c r="I445" s="3">
        <v>0.54166666666666663</v>
      </c>
      <c r="J445" s="3">
        <v>0.58333333333333337</v>
      </c>
      <c r="K445" s="3">
        <v>0.79166666666666663</v>
      </c>
      <c r="L445" s="4"/>
      <c r="M445" s="4"/>
    </row>
    <row r="446" spans="1:13" x14ac:dyDescent="0.25">
      <c r="A446" s="1" t="s">
        <v>5</v>
      </c>
      <c r="B446" t="s">
        <v>6</v>
      </c>
      <c r="G446" s="1" t="s">
        <v>221</v>
      </c>
      <c r="H446" s="3">
        <v>0.41666666666666669</v>
      </c>
      <c r="I446" s="3">
        <v>0.54166666666666663</v>
      </c>
      <c r="J446" s="3">
        <v>0.58333333333333337</v>
      </c>
      <c r="K446" s="3">
        <v>0.83333333333333337</v>
      </c>
      <c r="L446" s="4"/>
      <c r="M446" s="4"/>
    </row>
    <row r="447" spans="1:13" x14ac:dyDescent="0.25">
      <c r="G447" s="1" t="s">
        <v>222</v>
      </c>
      <c r="H447" s="3">
        <v>0.41666666666666669</v>
      </c>
      <c r="I447" s="3">
        <v>0.54166666666666663</v>
      </c>
      <c r="J447" s="3">
        <v>0.58333333333333337</v>
      </c>
      <c r="K447" s="3">
        <v>0.83333333333333337</v>
      </c>
      <c r="L447" s="4"/>
      <c r="M447" s="4"/>
    </row>
    <row r="448" spans="1:13" x14ac:dyDescent="0.25">
      <c r="A448" s="1" t="s">
        <v>7</v>
      </c>
      <c r="B448" t="s">
        <v>66</v>
      </c>
      <c r="G448" s="1" t="s">
        <v>223</v>
      </c>
      <c r="H448" s="3">
        <v>0.41666666666666669</v>
      </c>
      <c r="I448" s="3">
        <v>0.54166666666666663</v>
      </c>
      <c r="J448" s="3">
        <v>0.58333333333333337</v>
      </c>
      <c r="K448" s="3">
        <v>0.83333333333333337</v>
      </c>
      <c r="L448" s="4"/>
      <c r="M448" s="4"/>
    </row>
    <row r="449" spans="1:16" x14ac:dyDescent="0.25">
      <c r="A449" s="1" t="s">
        <v>9</v>
      </c>
      <c r="B449" t="s">
        <v>67</v>
      </c>
      <c r="D449" s="1" t="s">
        <v>11</v>
      </c>
      <c r="E449" t="s">
        <v>67</v>
      </c>
      <c r="G449" s="1" t="s">
        <v>224</v>
      </c>
      <c r="H449" s="3">
        <v>0.41666666666666669</v>
      </c>
      <c r="I449" s="3">
        <v>0.54166666666666663</v>
      </c>
      <c r="J449" s="3">
        <v>0.58333333333333337</v>
      </c>
      <c r="K449" s="3">
        <v>0.83333333333333337</v>
      </c>
      <c r="L449" s="4"/>
      <c r="M449" s="4"/>
    </row>
    <row r="450" spans="1:16" x14ac:dyDescent="0.25">
      <c r="A450" s="1" t="s">
        <v>12</v>
      </c>
      <c r="D450" s="1" t="s">
        <v>13</v>
      </c>
      <c r="E450" s="2">
        <v>42278</v>
      </c>
      <c r="G450" s="1" t="s">
        <v>225</v>
      </c>
      <c r="H450" s="4" t="s">
        <v>25</v>
      </c>
      <c r="I450" s="4" t="s">
        <v>25</v>
      </c>
      <c r="J450" s="4" t="s">
        <v>25</v>
      </c>
      <c r="K450" s="4" t="s">
        <v>25</v>
      </c>
      <c r="L450" s="4" t="s">
        <v>25</v>
      </c>
      <c r="M450" s="4" t="s">
        <v>25</v>
      </c>
    </row>
    <row r="451" spans="1:16" x14ac:dyDescent="0.25">
      <c r="A451" s="1" t="s">
        <v>14</v>
      </c>
      <c r="B451" t="s">
        <v>58</v>
      </c>
      <c r="G451" s="1" t="s">
        <v>226</v>
      </c>
      <c r="H451" s="4" t="s">
        <v>25</v>
      </c>
      <c r="I451" s="4" t="s">
        <v>25</v>
      </c>
      <c r="J451" s="4" t="s">
        <v>25</v>
      </c>
      <c r="K451" s="4" t="s">
        <v>25</v>
      </c>
      <c r="L451" s="4" t="s">
        <v>25</v>
      </c>
      <c r="M451" s="4" t="s">
        <v>25</v>
      </c>
    </row>
    <row r="452" spans="1:16" x14ac:dyDescent="0.25">
      <c r="A452" s="1" t="s">
        <v>16</v>
      </c>
      <c r="B452" t="s">
        <v>17</v>
      </c>
    </row>
    <row r="455" spans="1:16" x14ac:dyDescent="0.25">
      <c r="A455" s="5" t="s">
        <v>26</v>
      </c>
      <c r="B455" s="5" t="s">
        <v>27</v>
      </c>
      <c r="C455" s="5" t="s">
        <v>28</v>
      </c>
      <c r="D455" s="5" t="s">
        <v>29</v>
      </c>
      <c r="E455" s="5" t="s">
        <v>30</v>
      </c>
      <c r="F455" s="5" t="s">
        <v>31</v>
      </c>
      <c r="G455" s="5" t="s">
        <v>32</v>
      </c>
      <c r="H455" s="5" t="s">
        <v>33</v>
      </c>
      <c r="I455" s="5" t="s">
        <v>34</v>
      </c>
      <c r="J455" s="5" t="s">
        <v>35</v>
      </c>
      <c r="K455" s="5" t="s">
        <v>36</v>
      </c>
      <c r="L455" s="5" t="s">
        <v>37</v>
      </c>
      <c r="M455" s="5" t="s">
        <v>38</v>
      </c>
      <c r="N455" s="5" t="s">
        <v>39</v>
      </c>
      <c r="O455" s="5" t="s">
        <v>40</v>
      </c>
      <c r="P455" s="5" t="s">
        <v>41</v>
      </c>
    </row>
    <row r="456" spans="1:16" x14ac:dyDescent="0.25">
      <c r="A456" s="4"/>
      <c r="B456" s="4"/>
      <c r="C456" s="4"/>
      <c r="D456" s="4"/>
      <c r="E456" s="4"/>
      <c r="F456" s="4"/>
      <c r="G456" s="4"/>
      <c r="H456" s="6">
        <v>8.0416666666666661</v>
      </c>
      <c r="I456" s="6">
        <v>8.0027777777777782</v>
      </c>
      <c r="J456" s="6">
        <v>4.416666666666667</v>
      </c>
      <c r="K456" s="3">
        <v>0</v>
      </c>
      <c r="L456" s="3">
        <v>0.30555555555555552</v>
      </c>
      <c r="M456" s="3">
        <v>0</v>
      </c>
      <c r="N456" s="3">
        <v>0</v>
      </c>
      <c r="O456" s="3">
        <v>3.888888888888889E-2</v>
      </c>
      <c r="P456" s="3">
        <v>6.0416666666666667E-2</v>
      </c>
    </row>
    <row r="457" spans="1:16" x14ac:dyDescent="0.25">
      <c r="A457" s="4" t="s">
        <v>227</v>
      </c>
      <c r="B457" s="3">
        <v>0.43194444444444446</v>
      </c>
      <c r="C457" s="3">
        <v>0.5444444444444444</v>
      </c>
      <c r="D457" s="3">
        <v>0.58472222222222225</v>
      </c>
      <c r="E457" s="3">
        <v>0.80625000000000002</v>
      </c>
      <c r="F457" s="4"/>
      <c r="G457" s="4"/>
      <c r="H457" s="3">
        <v>0.33333333333333331</v>
      </c>
      <c r="I457" s="3">
        <v>0.33333333333333331</v>
      </c>
      <c r="J457" s="4"/>
      <c r="K457" s="4"/>
      <c r="L457" s="4"/>
      <c r="M457" s="4"/>
      <c r="N457" s="4"/>
      <c r="O457" s="4"/>
      <c r="P457" s="4"/>
    </row>
    <row r="458" spans="1:16" x14ac:dyDescent="0.25">
      <c r="A458" s="4" t="s">
        <v>228</v>
      </c>
      <c r="B458" s="3">
        <v>0.41180555555555554</v>
      </c>
      <c r="C458" s="3">
        <v>0.52083333333333337</v>
      </c>
      <c r="D458" s="3">
        <v>0.56041666666666667</v>
      </c>
      <c r="E458" s="3">
        <v>0.83194444444444438</v>
      </c>
      <c r="F458" s="4"/>
      <c r="G458" s="4"/>
      <c r="H458" s="3">
        <v>0.375</v>
      </c>
      <c r="I458" s="3">
        <v>0.375</v>
      </c>
      <c r="J458" s="4"/>
      <c r="K458" s="4"/>
      <c r="L458" s="4"/>
      <c r="M458" s="4"/>
      <c r="N458" s="4"/>
      <c r="O458" s="4"/>
      <c r="P458" s="3">
        <v>6.9444444444444441E-3</v>
      </c>
    </row>
    <row r="459" spans="1:16" x14ac:dyDescent="0.25">
      <c r="A459" s="4" t="s">
        <v>229</v>
      </c>
      <c r="B459" s="3">
        <v>0.42291666666666666</v>
      </c>
      <c r="C459" s="3">
        <v>0.52083333333333337</v>
      </c>
      <c r="D459" s="3">
        <v>0.56319444444444444</v>
      </c>
      <c r="E459" s="3">
        <v>0.84166666666666667</v>
      </c>
      <c r="F459" s="4"/>
      <c r="G459" s="4"/>
      <c r="H459" s="3">
        <v>0.375</v>
      </c>
      <c r="I459" s="3">
        <v>0.375</v>
      </c>
      <c r="J459" s="4"/>
      <c r="K459" s="4"/>
      <c r="L459" s="4"/>
      <c r="M459" s="4"/>
      <c r="N459" s="4"/>
      <c r="O459" s="4"/>
      <c r="P459" s="4"/>
    </row>
    <row r="460" spans="1:16" x14ac:dyDescent="0.25">
      <c r="A460" s="4" t="s">
        <v>230</v>
      </c>
      <c r="B460" s="3">
        <v>0.42291666666666666</v>
      </c>
      <c r="C460" s="3">
        <v>0.53263888888888888</v>
      </c>
      <c r="D460" s="3">
        <v>0.57291666666666663</v>
      </c>
      <c r="E460" s="3">
        <v>0.8340277777777777</v>
      </c>
      <c r="F460" s="4"/>
      <c r="G460" s="4"/>
      <c r="H460" s="3">
        <v>0.375</v>
      </c>
      <c r="I460" s="3">
        <v>0.375</v>
      </c>
      <c r="J460" s="4"/>
      <c r="K460" s="4"/>
      <c r="L460" s="4"/>
      <c r="M460" s="4"/>
      <c r="N460" s="4"/>
      <c r="O460" s="4"/>
      <c r="P460" s="4"/>
    </row>
    <row r="461" spans="1:16" x14ac:dyDescent="0.25">
      <c r="A461" s="4" t="s">
        <v>231</v>
      </c>
      <c r="B461" s="3">
        <v>0.42986111111111108</v>
      </c>
      <c r="C461" s="3">
        <v>0.5395833333333333</v>
      </c>
      <c r="D461" s="3">
        <v>0.5854166666666667</v>
      </c>
      <c r="E461" s="3">
        <v>0.84652777777777777</v>
      </c>
      <c r="F461" s="4"/>
      <c r="G461" s="4"/>
      <c r="H461" s="3">
        <v>0.375</v>
      </c>
      <c r="I461" s="3">
        <v>0.375</v>
      </c>
      <c r="J461" s="4"/>
      <c r="K461" s="4"/>
      <c r="L461" s="4"/>
      <c r="M461" s="4"/>
      <c r="N461" s="4"/>
      <c r="O461" s="4"/>
      <c r="P461" s="4"/>
    </row>
    <row r="462" spans="1:16" x14ac:dyDescent="0.25">
      <c r="A462" s="4" t="s">
        <v>232</v>
      </c>
      <c r="B462" s="4" t="s">
        <v>25</v>
      </c>
      <c r="C462" s="4" t="s">
        <v>25</v>
      </c>
      <c r="D462" s="4" t="s">
        <v>25</v>
      </c>
      <c r="E462" s="4" t="s">
        <v>25</v>
      </c>
      <c r="F462" s="4" t="s">
        <v>25</v>
      </c>
      <c r="G462" s="4" t="s">
        <v>25</v>
      </c>
      <c r="H462" s="4"/>
      <c r="I462" s="4"/>
      <c r="J462" s="4"/>
      <c r="K462" s="4"/>
      <c r="L462" s="4"/>
      <c r="M462" s="4"/>
      <c r="N462" s="4"/>
      <c r="O462" s="4"/>
      <c r="P462" s="4"/>
    </row>
    <row r="463" spans="1:16" x14ac:dyDescent="0.25">
      <c r="A463" s="4" t="s">
        <v>233</v>
      </c>
      <c r="B463" s="4" t="s">
        <v>25</v>
      </c>
      <c r="C463" s="4" t="s">
        <v>25</v>
      </c>
      <c r="D463" s="4" t="s">
        <v>25</v>
      </c>
      <c r="E463" s="4" t="s">
        <v>25</v>
      </c>
      <c r="F463" s="4" t="s">
        <v>25</v>
      </c>
      <c r="G463" s="4" t="s">
        <v>25</v>
      </c>
      <c r="H463" s="4"/>
      <c r="I463" s="4"/>
      <c r="J463" s="4"/>
      <c r="K463" s="4"/>
      <c r="L463" s="4"/>
      <c r="M463" s="4"/>
      <c r="N463" s="4"/>
      <c r="O463" s="4"/>
      <c r="P463" s="4"/>
    </row>
    <row r="464" spans="1:16" x14ac:dyDescent="0.25">
      <c r="A464" s="4" t="s">
        <v>234</v>
      </c>
      <c r="B464" s="4" t="s">
        <v>55</v>
      </c>
      <c r="C464" s="4" t="s">
        <v>55</v>
      </c>
      <c r="D464" s="4" t="s">
        <v>55</v>
      </c>
      <c r="E464" s="4" t="s">
        <v>55</v>
      </c>
      <c r="F464" s="4"/>
      <c r="G464" s="4"/>
      <c r="H464" s="3">
        <v>0.33333333333333331</v>
      </c>
      <c r="I464" s="3">
        <v>0.33333333333333331</v>
      </c>
      <c r="J464" s="3">
        <v>0.33333333333333331</v>
      </c>
      <c r="K464" s="4"/>
      <c r="L464" s="4"/>
      <c r="M464" s="4"/>
      <c r="N464" s="4"/>
      <c r="O464" s="4"/>
      <c r="P464" s="4"/>
    </row>
    <row r="465" spans="1:16" x14ac:dyDescent="0.25">
      <c r="A465" s="4" t="s">
        <v>235</v>
      </c>
      <c r="B465" s="4" t="s">
        <v>55</v>
      </c>
      <c r="C465" s="4" t="s">
        <v>55</v>
      </c>
      <c r="D465" s="4" t="s">
        <v>55</v>
      </c>
      <c r="E465" s="4" t="s">
        <v>55</v>
      </c>
      <c r="F465" s="4"/>
      <c r="G465" s="4"/>
      <c r="H465" s="3">
        <v>0.375</v>
      </c>
      <c r="I465" s="3">
        <v>0.375</v>
      </c>
      <c r="J465" s="3">
        <v>0.375</v>
      </c>
      <c r="K465" s="4"/>
      <c r="L465" s="4"/>
      <c r="M465" s="4"/>
      <c r="N465" s="4"/>
      <c r="O465" s="4"/>
      <c r="P465" s="4"/>
    </row>
    <row r="466" spans="1:16" x14ac:dyDescent="0.25">
      <c r="A466" s="4" t="s">
        <v>236</v>
      </c>
      <c r="B466" s="4" t="s">
        <v>55</v>
      </c>
      <c r="C466" s="4" t="s">
        <v>55</v>
      </c>
      <c r="D466" s="4" t="s">
        <v>55</v>
      </c>
      <c r="E466" s="4" t="s">
        <v>55</v>
      </c>
      <c r="F466" s="4"/>
      <c r="G466" s="4"/>
      <c r="H466" s="3">
        <v>0.375</v>
      </c>
      <c r="I466" s="3">
        <v>0.375</v>
      </c>
      <c r="J466" s="3">
        <v>0.375</v>
      </c>
      <c r="K466" s="4"/>
      <c r="L466" s="4"/>
      <c r="M466" s="4"/>
      <c r="N466" s="4"/>
      <c r="O466" s="4"/>
      <c r="P466" s="4"/>
    </row>
    <row r="467" spans="1:16" x14ac:dyDescent="0.25">
      <c r="A467" s="4" t="s">
        <v>237</v>
      </c>
      <c r="B467" s="4" t="s">
        <v>55</v>
      </c>
      <c r="C467" s="4" t="s">
        <v>55</v>
      </c>
      <c r="D467" s="4" t="s">
        <v>55</v>
      </c>
      <c r="E467" s="4" t="s">
        <v>55</v>
      </c>
      <c r="F467" s="4"/>
      <c r="G467" s="4"/>
      <c r="H467" s="3">
        <v>0.375</v>
      </c>
      <c r="I467" s="3">
        <v>0.375</v>
      </c>
      <c r="J467" s="3">
        <v>0.375</v>
      </c>
      <c r="K467" s="4"/>
      <c r="L467" s="4"/>
      <c r="M467" s="4"/>
      <c r="N467" s="4"/>
      <c r="O467" s="4"/>
      <c r="P467" s="4"/>
    </row>
    <row r="468" spans="1:16" x14ac:dyDescent="0.25">
      <c r="A468" s="4" t="s">
        <v>238</v>
      </c>
      <c r="B468" s="4" t="s">
        <v>55</v>
      </c>
      <c r="C468" s="4" t="s">
        <v>55</v>
      </c>
      <c r="D468" s="4" t="s">
        <v>55</v>
      </c>
      <c r="E468" s="4" t="s">
        <v>55</v>
      </c>
      <c r="F468" s="4"/>
      <c r="G468" s="4"/>
      <c r="H468" s="3">
        <v>0.375</v>
      </c>
      <c r="I468" s="3">
        <v>0.375</v>
      </c>
      <c r="J468" s="3">
        <v>0.375</v>
      </c>
      <c r="K468" s="4"/>
      <c r="L468" s="4"/>
      <c r="M468" s="4"/>
      <c r="N468" s="4"/>
      <c r="O468" s="4"/>
      <c r="P468" s="4"/>
    </row>
    <row r="469" spans="1:16" x14ac:dyDescent="0.25">
      <c r="A469" s="4" t="s">
        <v>239</v>
      </c>
      <c r="B469" s="4" t="s">
        <v>55</v>
      </c>
      <c r="C469" s="4" t="s">
        <v>55</v>
      </c>
      <c r="D469" s="4" t="s">
        <v>55</v>
      </c>
      <c r="E469" s="4" t="s">
        <v>55</v>
      </c>
      <c r="F469" s="4"/>
      <c r="G469" s="4"/>
      <c r="H469" s="4"/>
      <c r="I469" s="4"/>
      <c r="J469" s="4"/>
      <c r="K469" s="4"/>
      <c r="L469" s="4"/>
      <c r="M469" s="4"/>
      <c r="N469" s="4"/>
      <c r="O469" s="4"/>
      <c r="P469" s="4"/>
    </row>
    <row r="470" spans="1:16" x14ac:dyDescent="0.25">
      <c r="A470" s="4" t="s">
        <v>240</v>
      </c>
      <c r="B470" s="4" t="s">
        <v>55</v>
      </c>
      <c r="C470" s="4" t="s">
        <v>55</v>
      </c>
      <c r="D470" s="4" t="s">
        <v>55</v>
      </c>
      <c r="E470" s="4" t="s">
        <v>55</v>
      </c>
      <c r="F470" s="4"/>
      <c r="G470" s="4"/>
      <c r="H470" s="4"/>
      <c r="I470" s="4"/>
      <c r="J470" s="4"/>
      <c r="K470" s="4"/>
      <c r="L470" s="4"/>
      <c r="M470" s="4"/>
      <c r="N470" s="4"/>
      <c r="O470" s="4"/>
      <c r="P470" s="4"/>
    </row>
    <row r="471" spans="1:16" x14ac:dyDescent="0.25">
      <c r="A471" s="4" t="s">
        <v>241</v>
      </c>
      <c r="B471" s="4" t="s">
        <v>55</v>
      </c>
      <c r="C471" s="4" t="s">
        <v>55</v>
      </c>
      <c r="D471" s="4" t="s">
        <v>55</v>
      </c>
      <c r="E471" s="4" t="s">
        <v>55</v>
      </c>
      <c r="F471" s="4"/>
      <c r="G471" s="4"/>
      <c r="H471" s="3">
        <v>0.33333333333333331</v>
      </c>
      <c r="I471" s="3">
        <v>0.33333333333333331</v>
      </c>
      <c r="J471" s="3">
        <v>0.33333333333333331</v>
      </c>
      <c r="K471" s="4"/>
      <c r="L471" s="4"/>
      <c r="M471" s="4"/>
      <c r="N471" s="4"/>
      <c r="O471" s="4"/>
      <c r="P471" s="4"/>
    </row>
    <row r="472" spans="1:16" x14ac:dyDescent="0.25">
      <c r="A472" s="4" t="s">
        <v>242</v>
      </c>
      <c r="B472" s="4" t="s">
        <v>55</v>
      </c>
      <c r="C472" s="4" t="s">
        <v>55</v>
      </c>
      <c r="D472" s="4" t="s">
        <v>55</v>
      </c>
      <c r="E472" s="4" t="s">
        <v>55</v>
      </c>
      <c r="F472" s="4"/>
      <c r="G472" s="4"/>
      <c r="H472" s="3">
        <v>0.375</v>
      </c>
      <c r="I472" s="3">
        <v>0.375</v>
      </c>
      <c r="J472" s="3">
        <v>0.375</v>
      </c>
      <c r="K472" s="4"/>
      <c r="L472" s="4"/>
      <c r="M472" s="4"/>
      <c r="N472" s="4"/>
      <c r="O472" s="4"/>
      <c r="P472" s="4"/>
    </row>
    <row r="473" spans="1:16" x14ac:dyDescent="0.25">
      <c r="A473" s="4" t="s">
        <v>243</v>
      </c>
      <c r="B473" s="4" t="s">
        <v>55</v>
      </c>
      <c r="C473" s="4" t="s">
        <v>55</v>
      </c>
      <c r="D473" s="4" t="s">
        <v>55</v>
      </c>
      <c r="E473" s="4" t="s">
        <v>55</v>
      </c>
      <c r="F473" s="4"/>
      <c r="G473" s="4"/>
      <c r="H473" s="3">
        <v>0.375</v>
      </c>
      <c r="I473" s="3">
        <v>0.375</v>
      </c>
      <c r="J473" s="3">
        <v>0.375</v>
      </c>
      <c r="K473" s="4"/>
      <c r="L473" s="4"/>
      <c r="M473" s="4"/>
      <c r="N473" s="4"/>
      <c r="O473" s="4"/>
      <c r="P473" s="4"/>
    </row>
    <row r="474" spans="1:16" x14ac:dyDescent="0.25">
      <c r="A474" s="4" t="s">
        <v>244</v>
      </c>
      <c r="B474" s="4" t="s">
        <v>265</v>
      </c>
      <c r="C474" s="4" t="s">
        <v>265</v>
      </c>
      <c r="D474" s="4" t="s">
        <v>265</v>
      </c>
      <c r="E474" s="4" t="s">
        <v>265</v>
      </c>
      <c r="F474" s="4" t="s">
        <v>265</v>
      </c>
      <c r="G474" s="4" t="s">
        <v>265</v>
      </c>
      <c r="H474" s="4"/>
      <c r="I474" s="4"/>
      <c r="J474" s="4"/>
      <c r="K474" s="4"/>
      <c r="L474" s="4"/>
      <c r="M474" s="4"/>
      <c r="N474" s="4"/>
      <c r="O474" s="4"/>
      <c r="P474" s="4"/>
    </row>
    <row r="475" spans="1:16" x14ac:dyDescent="0.25">
      <c r="A475" s="4" t="s">
        <v>245</v>
      </c>
      <c r="B475" s="4" t="s">
        <v>52</v>
      </c>
      <c r="C475" s="4" t="s">
        <v>52</v>
      </c>
      <c r="D475" s="4" t="s">
        <v>52</v>
      </c>
      <c r="E475" s="4" t="s">
        <v>52</v>
      </c>
      <c r="F475" s="4"/>
      <c r="G475" s="4"/>
      <c r="H475" s="3">
        <v>0.375</v>
      </c>
      <c r="I475" s="3">
        <v>0.375</v>
      </c>
      <c r="J475" s="3">
        <v>0.375</v>
      </c>
      <c r="K475" s="4"/>
      <c r="L475" s="4"/>
      <c r="M475" s="4"/>
      <c r="N475" s="4"/>
      <c r="O475" s="4"/>
      <c r="P475" s="4"/>
    </row>
    <row r="476" spans="1:16" x14ac:dyDescent="0.25">
      <c r="A476" s="4" t="s">
        <v>246</v>
      </c>
      <c r="B476" s="4"/>
      <c r="C476" s="4"/>
      <c r="D476" s="4"/>
      <c r="E476" s="4"/>
      <c r="F476" s="4"/>
      <c r="G476" s="4"/>
      <c r="H476" s="4"/>
      <c r="I476" s="4"/>
      <c r="J476" s="4"/>
      <c r="K476" s="4"/>
      <c r="L476" s="4"/>
      <c r="M476" s="4"/>
      <c r="N476" s="4"/>
      <c r="O476" s="4"/>
      <c r="P476" s="4"/>
    </row>
    <row r="477" spans="1:16" x14ac:dyDescent="0.25">
      <c r="A477" s="4" t="s">
        <v>247</v>
      </c>
      <c r="B477" s="4" t="s">
        <v>25</v>
      </c>
      <c r="C477" s="4" t="s">
        <v>25</v>
      </c>
      <c r="D477" s="4" t="s">
        <v>25</v>
      </c>
      <c r="E477" s="4" t="s">
        <v>25</v>
      </c>
      <c r="F477" s="4" t="s">
        <v>25</v>
      </c>
      <c r="G477" s="4" t="s">
        <v>25</v>
      </c>
      <c r="H477" s="4"/>
      <c r="I477" s="4"/>
      <c r="J477" s="4"/>
      <c r="K477" s="4"/>
      <c r="L477" s="3">
        <v>0.30555555555555552</v>
      </c>
      <c r="M477" s="4"/>
      <c r="N477" s="4"/>
      <c r="O477" s="4"/>
      <c r="P477" s="4"/>
    </row>
    <row r="478" spans="1:16" x14ac:dyDescent="0.25">
      <c r="A478" s="4" t="s">
        <v>248</v>
      </c>
      <c r="B478" s="3">
        <v>0.41319444444444442</v>
      </c>
      <c r="C478" s="3">
        <v>0.52222222222222225</v>
      </c>
      <c r="D478" s="3">
        <v>0.56666666666666665</v>
      </c>
      <c r="E478" s="3">
        <v>0.79236111111111107</v>
      </c>
      <c r="F478" s="4"/>
      <c r="G478" s="4"/>
      <c r="H478" s="3">
        <v>0.33333333333333331</v>
      </c>
      <c r="I478" s="3">
        <v>0.33333333333333331</v>
      </c>
      <c r="J478" s="4"/>
      <c r="K478" s="4"/>
      <c r="L478" s="4"/>
      <c r="M478" s="4"/>
      <c r="N478" s="4"/>
      <c r="O478" s="4"/>
      <c r="P478" s="4"/>
    </row>
    <row r="479" spans="1:16" x14ac:dyDescent="0.25">
      <c r="A479" s="4" t="s">
        <v>249</v>
      </c>
      <c r="B479" s="3">
        <v>0.42222222222222222</v>
      </c>
      <c r="C479" s="3">
        <v>0.52500000000000002</v>
      </c>
      <c r="D479" s="4" t="s">
        <v>52</v>
      </c>
      <c r="E479" s="4" t="s">
        <v>52</v>
      </c>
      <c r="F479" s="4"/>
      <c r="G479" s="4"/>
      <c r="H479" s="3">
        <v>0.375</v>
      </c>
      <c r="I479" s="3">
        <v>0.3527777777777778</v>
      </c>
      <c r="J479" s="3">
        <v>0.25</v>
      </c>
      <c r="K479" s="4"/>
      <c r="L479" s="4"/>
      <c r="M479" s="4"/>
      <c r="N479" s="4"/>
      <c r="O479" s="3">
        <v>2.2222222222222223E-2</v>
      </c>
      <c r="P479" s="4"/>
    </row>
    <row r="480" spans="1:16" x14ac:dyDescent="0.25">
      <c r="A480" s="4" t="s">
        <v>251</v>
      </c>
      <c r="B480" s="4" t="s">
        <v>52</v>
      </c>
      <c r="C480" s="4" t="s">
        <v>52</v>
      </c>
      <c r="D480" s="4" t="s">
        <v>52</v>
      </c>
      <c r="E480" s="4" t="s">
        <v>52</v>
      </c>
      <c r="F480" s="4"/>
      <c r="G480" s="4"/>
      <c r="H480" s="3">
        <v>0.375</v>
      </c>
      <c r="I480" s="3">
        <v>0.375</v>
      </c>
      <c r="J480" s="3">
        <v>0.375</v>
      </c>
      <c r="K480" s="4"/>
      <c r="L480" s="4"/>
      <c r="M480" s="4"/>
      <c r="N480" s="4"/>
      <c r="O480" s="4"/>
      <c r="P480" s="4"/>
    </row>
    <row r="481" spans="1:16" x14ac:dyDescent="0.25">
      <c r="A481" s="4" t="s">
        <v>256</v>
      </c>
      <c r="B481" s="4" t="s">
        <v>52</v>
      </c>
      <c r="C481" s="4" t="s">
        <v>52</v>
      </c>
      <c r="D481" s="4" t="s">
        <v>52</v>
      </c>
      <c r="E481" s="4" t="s">
        <v>52</v>
      </c>
      <c r="F481" s="4"/>
      <c r="G481" s="4"/>
      <c r="H481" s="3">
        <v>0.375</v>
      </c>
      <c r="I481" s="3">
        <v>0.375</v>
      </c>
      <c r="J481" s="3">
        <v>0.375</v>
      </c>
      <c r="K481" s="4"/>
      <c r="L481" s="4"/>
      <c r="M481" s="4"/>
      <c r="N481" s="4"/>
      <c r="O481" s="4"/>
      <c r="P481" s="4"/>
    </row>
    <row r="482" spans="1:16" x14ac:dyDescent="0.25">
      <c r="A482" s="4" t="s">
        <v>259</v>
      </c>
      <c r="B482" s="4" t="s">
        <v>52</v>
      </c>
      <c r="C482" s="3">
        <v>0.5541666666666667</v>
      </c>
      <c r="D482" s="3">
        <v>0.6</v>
      </c>
      <c r="E482" s="3">
        <v>0.83333333333333337</v>
      </c>
      <c r="F482" s="4"/>
      <c r="G482" s="4"/>
      <c r="H482" s="3">
        <v>0.375</v>
      </c>
      <c r="I482" s="3">
        <v>0.35833333333333334</v>
      </c>
      <c r="J482" s="3">
        <v>0.125</v>
      </c>
      <c r="K482" s="4"/>
      <c r="L482" s="4"/>
      <c r="M482" s="4"/>
      <c r="N482" s="4"/>
      <c r="O482" s="3">
        <v>1.6666666666666666E-2</v>
      </c>
      <c r="P482" s="4"/>
    </row>
    <row r="483" spans="1:16" x14ac:dyDescent="0.25">
      <c r="A483" s="4" t="s">
        <v>260</v>
      </c>
      <c r="B483" s="4" t="s">
        <v>25</v>
      </c>
      <c r="C483" s="4" t="s">
        <v>25</v>
      </c>
      <c r="D483" s="4" t="s">
        <v>25</v>
      </c>
      <c r="E483" s="4" t="s">
        <v>25</v>
      </c>
      <c r="F483" s="4" t="s">
        <v>25</v>
      </c>
      <c r="G483" s="4" t="s">
        <v>25</v>
      </c>
      <c r="H483" s="4"/>
      <c r="I483" s="4"/>
      <c r="J483" s="4"/>
      <c r="K483" s="4"/>
      <c r="L483" s="4"/>
      <c r="M483" s="4"/>
      <c r="N483" s="4"/>
      <c r="O483" s="4"/>
      <c r="P483" s="4"/>
    </row>
    <row r="484" spans="1:16" x14ac:dyDescent="0.25">
      <c r="A484" s="4" t="s">
        <v>261</v>
      </c>
      <c r="B484" s="4" t="s">
        <v>25</v>
      </c>
      <c r="C484" s="4" t="s">
        <v>25</v>
      </c>
      <c r="D484" s="4" t="s">
        <v>25</v>
      </c>
      <c r="E484" s="4" t="s">
        <v>25</v>
      </c>
      <c r="F484" s="4" t="s">
        <v>25</v>
      </c>
      <c r="G484" s="4" t="s">
        <v>25</v>
      </c>
      <c r="H484" s="4"/>
      <c r="I484" s="4"/>
      <c r="J484" s="4"/>
      <c r="K484" s="4"/>
      <c r="L484" s="4"/>
      <c r="M484" s="4"/>
      <c r="N484" s="4"/>
      <c r="O484" s="4"/>
      <c r="P484" s="4"/>
    </row>
    <row r="485" spans="1:16" x14ac:dyDescent="0.25">
      <c r="A485" s="4" t="s">
        <v>262</v>
      </c>
      <c r="B485" s="3">
        <v>0.37361111111111112</v>
      </c>
      <c r="C485" s="3">
        <v>0.56319444444444444</v>
      </c>
      <c r="D485" s="3">
        <v>0.6</v>
      </c>
      <c r="E485" s="3">
        <v>0.79722222222222217</v>
      </c>
      <c r="F485" s="4"/>
      <c r="G485" s="4"/>
      <c r="H485" s="3">
        <v>0.33333333333333331</v>
      </c>
      <c r="I485" s="3">
        <v>0.33333333333333331</v>
      </c>
      <c r="J485" s="4"/>
      <c r="K485" s="4"/>
      <c r="L485" s="4"/>
      <c r="M485" s="4"/>
      <c r="N485" s="4"/>
      <c r="O485" s="4"/>
      <c r="P485" s="3">
        <v>5.347222222222222E-2</v>
      </c>
    </row>
    <row r="486" spans="1:16" x14ac:dyDescent="0.25">
      <c r="A486" s="4" t="s">
        <v>263</v>
      </c>
      <c r="B486" s="3">
        <v>0.37361111111111112</v>
      </c>
      <c r="C486" s="3">
        <v>0.52638888888888891</v>
      </c>
      <c r="D486" s="3">
        <v>0.56944444444444442</v>
      </c>
      <c r="E486" s="3">
        <v>0.79236111111111107</v>
      </c>
      <c r="F486" s="4"/>
      <c r="G486" s="4"/>
      <c r="H486" s="3">
        <v>0.375</v>
      </c>
      <c r="I486" s="3">
        <v>0.375</v>
      </c>
      <c r="J486" s="4"/>
      <c r="K486" s="4"/>
      <c r="L486" s="4"/>
      <c r="M486" s="4"/>
      <c r="N486" s="4"/>
      <c r="O486" s="4"/>
      <c r="P486" s="4"/>
    </row>
    <row r="487" spans="1:16" x14ac:dyDescent="0.25">
      <c r="A487" s="4" t="s">
        <v>264</v>
      </c>
      <c r="B487" s="3">
        <v>0.37222222222222223</v>
      </c>
      <c r="C487" s="3">
        <v>0.54166666666666663</v>
      </c>
      <c r="D487" s="3">
        <v>0.58194444444444449</v>
      </c>
      <c r="E487" s="3">
        <v>0.79236111111111107</v>
      </c>
      <c r="F487" s="4"/>
      <c r="G487" s="4"/>
      <c r="H487" s="3">
        <v>0.375</v>
      </c>
      <c r="I487" s="3">
        <v>0.375</v>
      </c>
      <c r="J487" s="4"/>
      <c r="K487" s="4"/>
      <c r="L487" s="4"/>
      <c r="M487" s="4"/>
      <c r="N487" s="4"/>
      <c r="O487" s="4"/>
      <c r="P487" s="4"/>
    </row>
    <row r="489" spans="1:16" x14ac:dyDescent="0.25">
      <c r="A489" s="7" t="s">
        <v>45</v>
      </c>
    </row>
    <row r="492" spans="1:16" x14ac:dyDescent="0.25">
      <c r="A492" s="7" t="s">
        <v>46</v>
      </c>
    </row>
    <row r="493" spans="1:16" x14ac:dyDescent="0.25">
      <c r="A493" s="7" t="s">
        <v>66</v>
      </c>
      <c r="F493" s="7" t="s">
        <v>47</v>
      </c>
    </row>
    <row r="494" spans="1:16" x14ac:dyDescent="0.25">
      <c r="F494" s="7"/>
    </row>
    <row r="498" spans="1:16" x14ac:dyDescent="0.25">
      <c r="G498" s="1" t="s">
        <v>18</v>
      </c>
    </row>
    <row r="499" spans="1:16" x14ac:dyDescent="0.25">
      <c r="A499" s="1" t="s">
        <v>1</v>
      </c>
      <c r="B499" t="s">
        <v>2</v>
      </c>
      <c r="H499" s="1" t="s">
        <v>19</v>
      </c>
      <c r="I499" s="1" t="s">
        <v>20</v>
      </c>
      <c r="J499" s="1" t="s">
        <v>21</v>
      </c>
      <c r="K499" s="1" t="s">
        <v>22</v>
      </c>
      <c r="L499" s="1" t="s">
        <v>23</v>
      </c>
      <c r="M499" s="1" t="s">
        <v>24</v>
      </c>
    </row>
    <row r="500" spans="1:16" x14ac:dyDescent="0.25">
      <c r="A500" s="1" t="s">
        <v>3</v>
      </c>
      <c r="B500" t="s">
        <v>4</v>
      </c>
      <c r="G500" s="1" t="s">
        <v>220</v>
      </c>
      <c r="H500" s="3">
        <v>0.375</v>
      </c>
      <c r="I500" s="3">
        <v>0.5</v>
      </c>
      <c r="J500" s="3">
        <v>0.54166666666666663</v>
      </c>
      <c r="K500" s="3">
        <v>0.75</v>
      </c>
      <c r="L500" s="4"/>
      <c r="M500" s="4"/>
    </row>
    <row r="501" spans="1:16" x14ac:dyDescent="0.25">
      <c r="A501" s="1" t="s">
        <v>5</v>
      </c>
      <c r="B501" t="s">
        <v>6</v>
      </c>
      <c r="G501" s="1" t="s">
        <v>221</v>
      </c>
      <c r="H501" s="3">
        <v>0.375</v>
      </c>
      <c r="I501" s="3">
        <v>0.5</v>
      </c>
      <c r="J501" s="3">
        <v>0.54166666666666663</v>
      </c>
      <c r="K501" s="3">
        <v>0.79166666666666663</v>
      </c>
      <c r="L501" s="4"/>
      <c r="M501" s="4"/>
    </row>
    <row r="502" spans="1:16" x14ac:dyDescent="0.25">
      <c r="G502" s="1" t="s">
        <v>222</v>
      </c>
      <c r="H502" s="3">
        <v>0.375</v>
      </c>
      <c r="I502" s="3">
        <v>0.5</v>
      </c>
      <c r="J502" s="3">
        <v>0.54166666666666663</v>
      </c>
      <c r="K502" s="3">
        <v>0.79166666666666663</v>
      </c>
      <c r="L502" s="4"/>
      <c r="M502" s="4"/>
    </row>
    <row r="503" spans="1:16" x14ac:dyDescent="0.25">
      <c r="A503" s="1" t="s">
        <v>7</v>
      </c>
      <c r="B503" t="s">
        <v>68</v>
      </c>
      <c r="G503" s="1" t="s">
        <v>223</v>
      </c>
      <c r="H503" s="3">
        <v>0.375</v>
      </c>
      <c r="I503" s="3">
        <v>0.5</v>
      </c>
      <c r="J503" s="3">
        <v>0.54166666666666663</v>
      </c>
      <c r="K503" s="3">
        <v>0.79166666666666663</v>
      </c>
      <c r="L503" s="4"/>
      <c r="M503" s="4"/>
    </row>
    <row r="504" spans="1:16" x14ac:dyDescent="0.25">
      <c r="A504" s="1" t="s">
        <v>9</v>
      </c>
      <c r="B504" t="s">
        <v>69</v>
      </c>
      <c r="D504" s="1" t="s">
        <v>11</v>
      </c>
      <c r="E504" t="s">
        <v>69</v>
      </c>
      <c r="G504" s="1" t="s">
        <v>224</v>
      </c>
      <c r="H504" s="3">
        <v>0.375</v>
      </c>
      <c r="I504" s="3">
        <v>0.5</v>
      </c>
      <c r="J504" s="3">
        <v>0.54166666666666663</v>
      </c>
      <c r="K504" s="3">
        <v>0.79166666666666663</v>
      </c>
      <c r="L504" s="4"/>
      <c r="M504" s="4"/>
    </row>
    <row r="505" spans="1:16" x14ac:dyDescent="0.25">
      <c r="A505" s="1" t="s">
        <v>12</v>
      </c>
      <c r="D505" s="1" t="s">
        <v>13</v>
      </c>
      <c r="E505" s="2">
        <v>42278</v>
      </c>
      <c r="G505" s="1" t="s">
        <v>225</v>
      </c>
      <c r="H505" s="4" t="s">
        <v>25</v>
      </c>
      <c r="I505" s="4" t="s">
        <v>25</v>
      </c>
      <c r="J505" s="4" t="s">
        <v>25</v>
      </c>
      <c r="K505" s="4" t="s">
        <v>25</v>
      </c>
      <c r="L505" s="4" t="s">
        <v>25</v>
      </c>
      <c r="M505" s="4" t="s">
        <v>25</v>
      </c>
    </row>
    <row r="506" spans="1:16" x14ac:dyDescent="0.25">
      <c r="A506" s="1" t="s">
        <v>14</v>
      </c>
      <c r="B506" t="s">
        <v>58</v>
      </c>
      <c r="G506" s="1" t="s">
        <v>226</v>
      </c>
      <c r="H506" s="4" t="s">
        <v>25</v>
      </c>
      <c r="I506" s="4" t="s">
        <v>25</v>
      </c>
      <c r="J506" s="4" t="s">
        <v>25</v>
      </c>
      <c r="K506" s="4" t="s">
        <v>25</v>
      </c>
      <c r="L506" s="4" t="s">
        <v>25</v>
      </c>
      <c r="M506" s="4" t="s">
        <v>25</v>
      </c>
    </row>
    <row r="507" spans="1:16" x14ac:dyDescent="0.25">
      <c r="A507" s="1" t="s">
        <v>16</v>
      </c>
      <c r="B507" t="s">
        <v>17</v>
      </c>
    </row>
    <row r="510" spans="1:16" x14ac:dyDescent="0.25">
      <c r="A510" s="5" t="s">
        <v>26</v>
      </c>
      <c r="B510" s="5" t="s">
        <v>27</v>
      </c>
      <c r="C510" s="5" t="s">
        <v>28</v>
      </c>
      <c r="D510" s="5" t="s">
        <v>29</v>
      </c>
      <c r="E510" s="5" t="s">
        <v>30</v>
      </c>
      <c r="F510" s="5" t="s">
        <v>31</v>
      </c>
      <c r="G510" s="5" t="s">
        <v>32</v>
      </c>
      <c r="H510" s="5" t="s">
        <v>33</v>
      </c>
      <c r="I510" s="5" t="s">
        <v>34</v>
      </c>
      <c r="J510" s="5" t="s">
        <v>35</v>
      </c>
      <c r="K510" s="5" t="s">
        <v>36</v>
      </c>
      <c r="L510" s="5" t="s">
        <v>37</v>
      </c>
      <c r="M510" s="5" t="s">
        <v>38</v>
      </c>
      <c r="N510" s="5" t="s">
        <v>39</v>
      </c>
      <c r="O510" s="5" t="s">
        <v>40</v>
      </c>
      <c r="P510" s="5" t="s">
        <v>41</v>
      </c>
    </row>
    <row r="511" spans="1:16" x14ac:dyDescent="0.25">
      <c r="A511" s="4"/>
      <c r="B511" s="4"/>
      <c r="C511" s="4"/>
      <c r="D511" s="4"/>
      <c r="E511" s="4"/>
      <c r="F511" s="4"/>
      <c r="G511" s="4"/>
      <c r="H511" s="6">
        <v>8.0416666666666661</v>
      </c>
      <c r="I511" s="6">
        <v>8.0270833333333336</v>
      </c>
      <c r="J511" s="6">
        <v>1.2416666666666667</v>
      </c>
      <c r="K511" s="3">
        <v>0</v>
      </c>
      <c r="L511" s="3">
        <v>0</v>
      </c>
      <c r="M511" s="3">
        <v>0</v>
      </c>
      <c r="N511" s="3">
        <v>0</v>
      </c>
      <c r="O511" s="3">
        <v>1.4583333333333332E-2</v>
      </c>
      <c r="P511" s="3">
        <v>0.36874999999999997</v>
      </c>
    </row>
    <row r="512" spans="1:16" x14ac:dyDescent="0.25">
      <c r="A512" s="4" t="s">
        <v>227</v>
      </c>
      <c r="B512" s="3">
        <v>0.3611111111111111</v>
      </c>
      <c r="C512" s="3">
        <v>0.54375000000000007</v>
      </c>
      <c r="D512" s="3">
        <v>0.58472222222222225</v>
      </c>
      <c r="E512" s="3">
        <v>0.75</v>
      </c>
      <c r="F512" s="4"/>
      <c r="G512" s="4"/>
      <c r="H512" s="3">
        <v>0.33333333333333331</v>
      </c>
      <c r="I512" s="3">
        <v>0.33333333333333331</v>
      </c>
      <c r="J512" s="4"/>
      <c r="K512" s="4"/>
      <c r="L512" s="4"/>
      <c r="M512" s="4"/>
      <c r="N512" s="4"/>
      <c r="O512" s="4"/>
      <c r="P512" s="3">
        <v>1.4583333333333332E-2</v>
      </c>
    </row>
    <row r="513" spans="1:16" x14ac:dyDescent="0.25">
      <c r="A513" s="4" t="s">
        <v>228</v>
      </c>
      <c r="B513" s="3">
        <v>0.37361111111111112</v>
      </c>
      <c r="C513" s="3">
        <v>0.52083333333333337</v>
      </c>
      <c r="D513" s="3">
        <v>0.56041666666666667</v>
      </c>
      <c r="E513" s="3">
        <v>0.80069444444444438</v>
      </c>
      <c r="F513" s="4"/>
      <c r="G513" s="4"/>
      <c r="H513" s="3">
        <v>0.375</v>
      </c>
      <c r="I513" s="3">
        <v>0.375</v>
      </c>
      <c r="J513" s="4"/>
      <c r="K513" s="4"/>
      <c r="L513" s="4"/>
      <c r="M513" s="4"/>
      <c r="N513" s="4"/>
      <c r="O513" s="4"/>
      <c r="P513" s="3">
        <v>1.1111111111111112E-2</v>
      </c>
    </row>
    <row r="514" spans="1:16" x14ac:dyDescent="0.25">
      <c r="A514" s="4" t="s">
        <v>229</v>
      </c>
      <c r="B514" s="3">
        <v>0.37222222222222223</v>
      </c>
      <c r="C514" s="3">
        <v>0.52083333333333337</v>
      </c>
      <c r="D514" s="3">
        <v>0.56319444444444444</v>
      </c>
      <c r="E514" s="3">
        <v>0.79236111111111107</v>
      </c>
      <c r="F514" s="4"/>
      <c r="G514" s="4"/>
      <c r="H514" s="3">
        <v>0.375</v>
      </c>
      <c r="I514" s="3">
        <v>0.375</v>
      </c>
      <c r="J514" s="4"/>
      <c r="K514" s="4"/>
      <c r="L514" s="4"/>
      <c r="M514" s="4"/>
      <c r="N514" s="4"/>
      <c r="O514" s="4"/>
      <c r="P514" s="4"/>
    </row>
    <row r="515" spans="1:16" x14ac:dyDescent="0.25">
      <c r="A515" s="4" t="s">
        <v>230</v>
      </c>
      <c r="B515" s="3">
        <v>0.375</v>
      </c>
      <c r="C515" s="3">
        <v>0.53263888888888888</v>
      </c>
      <c r="D515" s="3">
        <v>0.57222222222222219</v>
      </c>
      <c r="E515" s="3">
        <v>0.79305555555555562</v>
      </c>
      <c r="F515" s="4"/>
      <c r="G515" s="4"/>
      <c r="H515" s="3">
        <v>0.375</v>
      </c>
      <c r="I515" s="3">
        <v>0.375</v>
      </c>
      <c r="J515" s="4"/>
      <c r="K515" s="4"/>
      <c r="L515" s="4"/>
      <c r="M515" s="4"/>
      <c r="N515" s="4"/>
      <c r="O515" s="4"/>
      <c r="P515" s="4"/>
    </row>
    <row r="516" spans="1:16" x14ac:dyDescent="0.25">
      <c r="A516" s="4" t="s">
        <v>231</v>
      </c>
      <c r="B516" s="3">
        <v>0.37986111111111115</v>
      </c>
      <c r="C516" s="3">
        <v>0.5395833333333333</v>
      </c>
      <c r="D516" s="3">
        <v>0.5854166666666667</v>
      </c>
      <c r="E516" s="3">
        <v>0.79583333333333339</v>
      </c>
      <c r="F516" s="4"/>
      <c r="G516" s="4"/>
      <c r="H516" s="3">
        <v>0.375</v>
      </c>
      <c r="I516" s="3">
        <v>0.375</v>
      </c>
      <c r="J516" s="4"/>
      <c r="K516" s="4"/>
      <c r="L516" s="4"/>
      <c r="M516" s="4"/>
      <c r="N516" s="4"/>
      <c r="O516" s="4"/>
      <c r="P516" s="4"/>
    </row>
    <row r="517" spans="1:16" x14ac:dyDescent="0.25">
      <c r="A517" s="4" t="s">
        <v>232</v>
      </c>
      <c r="B517" s="4" t="s">
        <v>25</v>
      </c>
      <c r="C517" s="4" t="s">
        <v>25</v>
      </c>
      <c r="D517" s="4" t="s">
        <v>25</v>
      </c>
      <c r="E517" s="4" t="s">
        <v>25</v>
      </c>
      <c r="F517" s="4" t="s">
        <v>25</v>
      </c>
      <c r="G517" s="4" t="s">
        <v>25</v>
      </c>
      <c r="H517" s="4"/>
      <c r="I517" s="4"/>
      <c r="J517" s="4"/>
      <c r="K517" s="4"/>
      <c r="L517" s="4"/>
      <c r="M517" s="4"/>
      <c r="N517" s="4"/>
      <c r="O517" s="4"/>
      <c r="P517" s="4"/>
    </row>
    <row r="518" spans="1:16" x14ac:dyDescent="0.25">
      <c r="A518" s="4" t="s">
        <v>233</v>
      </c>
      <c r="B518" s="4" t="s">
        <v>25</v>
      </c>
      <c r="C518" s="4" t="s">
        <v>25</v>
      </c>
      <c r="D518" s="4" t="s">
        <v>25</v>
      </c>
      <c r="E518" s="4" t="s">
        <v>25</v>
      </c>
      <c r="F518" s="4" t="s">
        <v>25</v>
      </c>
      <c r="G518" s="4" t="s">
        <v>25</v>
      </c>
      <c r="H518" s="4"/>
      <c r="I518" s="4"/>
      <c r="J518" s="4"/>
      <c r="K518" s="4"/>
      <c r="L518" s="4"/>
      <c r="M518" s="4"/>
      <c r="N518" s="4"/>
      <c r="O518" s="4"/>
      <c r="P518" s="4"/>
    </row>
    <row r="519" spans="1:16" x14ac:dyDescent="0.25">
      <c r="A519" s="4" t="s">
        <v>234</v>
      </c>
      <c r="B519" s="3">
        <v>0.37777777777777777</v>
      </c>
      <c r="C519" s="3">
        <v>0.52361111111111114</v>
      </c>
      <c r="D519" s="3">
        <v>0.57152777777777775</v>
      </c>
      <c r="E519" s="3">
        <v>0.75416666666666676</v>
      </c>
      <c r="F519" s="4"/>
      <c r="G519" s="4"/>
      <c r="H519" s="3">
        <v>0.33333333333333331</v>
      </c>
      <c r="I519" s="3">
        <v>0.33333333333333331</v>
      </c>
      <c r="J519" s="4"/>
      <c r="K519" s="4"/>
      <c r="L519" s="4"/>
      <c r="M519" s="4"/>
      <c r="N519" s="4"/>
      <c r="O519" s="4"/>
      <c r="P519" s="4"/>
    </row>
    <row r="520" spans="1:16" x14ac:dyDescent="0.25">
      <c r="A520" s="4" t="s">
        <v>235</v>
      </c>
      <c r="B520" s="3">
        <v>0.37708333333333338</v>
      </c>
      <c r="C520" s="3">
        <v>0.53680555555555554</v>
      </c>
      <c r="D520" s="3">
        <v>0.57291666666666663</v>
      </c>
      <c r="E520" s="3">
        <v>0.79166666666666663</v>
      </c>
      <c r="F520" s="4"/>
      <c r="G520" s="4"/>
      <c r="H520" s="3">
        <v>0.375</v>
      </c>
      <c r="I520" s="3">
        <v>0.375</v>
      </c>
      <c r="J520" s="4"/>
      <c r="K520" s="4"/>
      <c r="L520" s="4"/>
      <c r="M520" s="4"/>
      <c r="N520" s="4"/>
      <c r="O520" s="4"/>
      <c r="P520" s="4"/>
    </row>
    <row r="521" spans="1:16" x14ac:dyDescent="0.25">
      <c r="A521" s="4" t="s">
        <v>236</v>
      </c>
      <c r="B521" s="3">
        <v>0.38472222222222219</v>
      </c>
      <c r="C521" s="3">
        <v>0.51527777777777783</v>
      </c>
      <c r="D521" s="3">
        <v>0.5541666666666667</v>
      </c>
      <c r="E521" s="3">
        <v>0.79861111111111116</v>
      </c>
      <c r="F521" s="4"/>
      <c r="G521" s="4"/>
      <c r="H521" s="3">
        <v>0.375</v>
      </c>
      <c r="I521" s="3">
        <v>0.375</v>
      </c>
      <c r="J521" s="4"/>
      <c r="K521" s="4"/>
      <c r="L521" s="4"/>
      <c r="M521" s="4"/>
      <c r="N521" s="4"/>
      <c r="O521" s="4"/>
      <c r="P521" s="4"/>
    </row>
    <row r="522" spans="1:16" x14ac:dyDescent="0.25">
      <c r="A522" s="4" t="s">
        <v>237</v>
      </c>
      <c r="B522" s="3">
        <v>0.38194444444444442</v>
      </c>
      <c r="C522" s="3">
        <v>0.53402777777777777</v>
      </c>
      <c r="D522" s="3">
        <v>0.57500000000000007</v>
      </c>
      <c r="E522" s="3">
        <v>0.79513888888888884</v>
      </c>
      <c r="F522" s="4"/>
      <c r="G522" s="4"/>
      <c r="H522" s="3">
        <v>0.375</v>
      </c>
      <c r="I522" s="3">
        <v>0.375</v>
      </c>
      <c r="J522" s="4"/>
      <c r="K522" s="4"/>
      <c r="L522" s="4"/>
      <c r="M522" s="4"/>
      <c r="N522" s="4"/>
      <c r="O522" s="4"/>
      <c r="P522" s="4"/>
    </row>
    <row r="523" spans="1:16" x14ac:dyDescent="0.25">
      <c r="A523" s="4" t="s">
        <v>238</v>
      </c>
      <c r="B523" s="3">
        <v>0.37708333333333338</v>
      </c>
      <c r="C523" s="3">
        <v>0.53472222222222221</v>
      </c>
      <c r="D523" s="3">
        <v>0.58263888888888882</v>
      </c>
      <c r="E523" s="3">
        <v>0.79375000000000007</v>
      </c>
      <c r="F523" s="4"/>
      <c r="G523" s="4"/>
      <c r="H523" s="3">
        <v>0.375</v>
      </c>
      <c r="I523" s="3">
        <v>0.375</v>
      </c>
      <c r="J523" s="4"/>
      <c r="K523" s="4"/>
      <c r="L523" s="4"/>
      <c r="M523" s="4"/>
      <c r="N523" s="4"/>
      <c r="O523" s="4"/>
      <c r="P523" s="4"/>
    </row>
    <row r="524" spans="1:16" x14ac:dyDescent="0.25">
      <c r="A524" s="4" t="s">
        <v>239</v>
      </c>
      <c r="B524" s="4" t="s">
        <v>25</v>
      </c>
      <c r="C524" s="4" t="s">
        <v>25</v>
      </c>
      <c r="D524" s="4" t="s">
        <v>25</v>
      </c>
      <c r="E524" s="4" t="s">
        <v>25</v>
      </c>
      <c r="F524" s="4" t="s">
        <v>25</v>
      </c>
      <c r="G524" s="4" t="s">
        <v>25</v>
      </c>
      <c r="H524" s="4"/>
      <c r="I524" s="4"/>
      <c r="J524" s="4"/>
      <c r="K524" s="4"/>
      <c r="L524" s="4"/>
      <c r="M524" s="4"/>
      <c r="N524" s="4"/>
      <c r="O524" s="4"/>
      <c r="P524" s="4"/>
    </row>
    <row r="525" spans="1:16" x14ac:dyDescent="0.25">
      <c r="A525" s="4" t="s">
        <v>240</v>
      </c>
      <c r="B525" s="4" t="s">
        <v>25</v>
      </c>
      <c r="C525" s="4" t="s">
        <v>25</v>
      </c>
      <c r="D525" s="4" t="s">
        <v>25</v>
      </c>
      <c r="E525" s="4" t="s">
        <v>25</v>
      </c>
      <c r="F525" s="4" t="s">
        <v>25</v>
      </c>
      <c r="G525" s="4" t="s">
        <v>25</v>
      </c>
      <c r="H525" s="4"/>
      <c r="I525" s="4"/>
      <c r="J525" s="4"/>
      <c r="K525" s="4"/>
      <c r="L525" s="4"/>
      <c r="M525" s="4"/>
      <c r="N525" s="4"/>
      <c r="O525" s="4"/>
      <c r="P525" s="4"/>
    </row>
    <row r="526" spans="1:16" x14ac:dyDescent="0.25">
      <c r="A526" s="4" t="s">
        <v>241</v>
      </c>
      <c r="B526" s="3">
        <v>0.37847222222222227</v>
      </c>
      <c r="C526" s="3">
        <v>0.54791666666666672</v>
      </c>
      <c r="D526" s="3">
        <v>0.59027777777777779</v>
      </c>
      <c r="E526" s="3">
        <v>0.75208333333333333</v>
      </c>
      <c r="F526" s="4"/>
      <c r="G526" s="4"/>
      <c r="H526" s="3">
        <v>0.33333333333333331</v>
      </c>
      <c r="I526" s="3">
        <v>0.33333333333333331</v>
      </c>
      <c r="J526" s="4"/>
      <c r="K526" s="4"/>
      <c r="L526" s="4"/>
      <c r="M526" s="4"/>
      <c r="N526" s="4"/>
      <c r="O526" s="4"/>
      <c r="P526" s="4"/>
    </row>
    <row r="527" spans="1:16" x14ac:dyDescent="0.25">
      <c r="A527" s="4" t="s">
        <v>242</v>
      </c>
      <c r="B527" s="3">
        <v>0.38263888888888892</v>
      </c>
      <c r="C527" s="3">
        <v>0.52569444444444446</v>
      </c>
      <c r="D527" s="3">
        <v>0.56666666666666665</v>
      </c>
      <c r="E527" s="3">
        <v>0.79166666666666663</v>
      </c>
      <c r="F527" s="4"/>
      <c r="G527" s="4"/>
      <c r="H527" s="3">
        <v>0.375</v>
      </c>
      <c r="I527" s="3">
        <v>0.36805555555555558</v>
      </c>
      <c r="J527" s="4"/>
      <c r="K527" s="4"/>
      <c r="L527" s="4"/>
      <c r="M527" s="4"/>
      <c r="N527" s="4"/>
      <c r="O527" s="3">
        <v>6.9444444444444441E-3</v>
      </c>
      <c r="P527" s="4"/>
    </row>
    <row r="528" spans="1:16" x14ac:dyDescent="0.25">
      <c r="A528" s="4" t="s">
        <v>243</v>
      </c>
      <c r="B528" s="3">
        <v>0.37916666666666665</v>
      </c>
      <c r="C528" s="3">
        <v>0.55833333333333335</v>
      </c>
      <c r="D528" s="3">
        <v>0.61319444444444449</v>
      </c>
      <c r="E528" s="3">
        <v>0.80138888888888893</v>
      </c>
      <c r="F528" s="4"/>
      <c r="G528" s="4"/>
      <c r="H528" s="3">
        <v>0.375</v>
      </c>
      <c r="I528" s="3">
        <v>0.36736111111111108</v>
      </c>
      <c r="J528" s="4"/>
      <c r="K528" s="4"/>
      <c r="L528" s="4"/>
      <c r="M528" s="4"/>
      <c r="N528" s="4"/>
      <c r="O528" s="3">
        <v>7.6388888888888886E-3</v>
      </c>
      <c r="P528" s="4"/>
    </row>
    <row r="529" spans="1:16" x14ac:dyDescent="0.25">
      <c r="A529" s="4" t="s">
        <v>244</v>
      </c>
      <c r="B529" s="3">
        <v>0.36805555555555558</v>
      </c>
      <c r="C529" s="3">
        <v>0.53194444444444444</v>
      </c>
      <c r="D529" s="3">
        <v>0.57291666666666663</v>
      </c>
      <c r="E529" s="3">
        <v>0.75208333333333333</v>
      </c>
      <c r="F529" s="4"/>
      <c r="G529" s="4"/>
      <c r="H529" s="4"/>
      <c r="I529" s="4"/>
      <c r="J529" s="4"/>
      <c r="K529" s="4"/>
      <c r="L529" s="4"/>
      <c r="M529" s="4"/>
      <c r="N529" s="4"/>
      <c r="O529" s="4"/>
      <c r="P529" s="3">
        <v>0.3430555555555555</v>
      </c>
    </row>
    <row r="530" spans="1:16" x14ac:dyDescent="0.25">
      <c r="A530" s="4" t="s">
        <v>245</v>
      </c>
      <c r="B530" s="3">
        <v>0.37152777777777773</v>
      </c>
      <c r="C530" s="3">
        <v>0.55347222222222225</v>
      </c>
      <c r="D530" s="3">
        <v>0.59236111111111112</v>
      </c>
      <c r="E530" s="3">
        <v>0.79166666666666663</v>
      </c>
      <c r="F530" s="4"/>
      <c r="G530" s="4"/>
      <c r="H530" s="3">
        <v>0.375</v>
      </c>
      <c r="I530" s="3">
        <v>0.375</v>
      </c>
      <c r="J530" s="4"/>
      <c r="K530" s="4"/>
      <c r="L530" s="4"/>
      <c r="M530" s="4"/>
      <c r="N530" s="4"/>
      <c r="O530" s="4"/>
      <c r="P530" s="4"/>
    </row>
    <row r="531" spans="1:16" x14ac:dyDescent="0.25">
      <c r="A531" s="4" t="s">
        <v>246</v>
      </c>
      <c r="B531" s="4" t="s">
        <v>25</v>
      </c>
      <c r="C531" s="4" t="s">
        <v>25</v>
      </c>
      <c r="D531" s="4" t="s">
        <v>25</v>
      </c>
      <c r="E531" s="4" t="s">
        <v>25</v>
      </c>
      <c r="F531" s="4" t="s">
        <v>25</v>
      </c>
      <c r="G531" s="4" t="s">
        <v>25</v>
      </c>
      <c r="H531" s="4"/>
      <c r="I531" s="4"/>
      <c r="J531" s="4"/>
      <c r="K531" s="4"/>
      <c r="L531" s="4"/>
      <c r="M531" s="4"/>
      <c r="N531" s="4"/>
      <c r="O531" s="4"/>
      <c r="P531" s="4"/>
    </row>
    <row r="532" spans="1:16" x14ac:dyDescent="0.25">
      <c r="A532" s="4" t="s">
        <v>247</v>
      </c>
      <c r="B532" s="4" t="s">
        <v>25</v>
      </c>
      <c r="C532" s="4" t="s">
        <v>25</v>
      </c>
      <c r="D532" s="4" t="s">
        <v>25</v>
      </c>
      <c r="E532" s="4" t="s">
        <v>25</v>
      </c>
      <c r="F532" s="4" t="s">
        <v>25</v>
      </c>
      <c r="G532" s="4" t="s">
        <v>25</v>
      </c>
      <c r="H532" s="4"/>
      <c r="I532" s="4"/>
      <c r="J532" s="4"/>
      <c r="K532" s="4"/>
      <c r="L532" s="4"/>
      <c r="M532" s="4"/>
      <c r="N532" s="4"/>
      <c r="O532" s="4"/>
      <c r="P532" s="4"/>
    </row>
    <row r="533" spans="1:16" x14ac:dyDescent="0.25">
      <c r="A533" s="4" t="s">
        <v>248</v>
      </c>
      <c r="B533" s="3">
        <v>0.3840277777777778</v>
      </c>
      <c r="C533" s="3">
        <v>0.52222222222222225</v>
      </c>
      <c r="D533" s="3">
        <v>0.56666666666666665</v>
      </c>
      <c r="E533" s="3">
        <v>0.75694444444444453</v>
      </c>
      <c r="F533" s="4"/>
      <c r="G533" s="4"/>
      <c r="H533" s="3">
        <v>0.33333333333333331</v>
      </c>
      <c r="I533" s="3">
        <v>0.33333333333333331</v>
      </c>
      <c r="J533" s="4"/>
      <c r="K533" s="4"/>
      <c r="L533" s="4"/>
      <c r="M533" s="4"/>
      <c r="N533" s="4"/>
      <c r="O533" s="4"/>
      <c r="P533" s="4"/>
    </row>
    <row r="534" spans="1:16" x14ac:dyDescent="0.25">
      <c r="A534" s="4" t="s">
        <v>249</v>
      </c>
      <c r="B534" s="3">
        <v>0.37777777777777777</v>
      </c>
      <c r="C534" s="3">
        <v>0.52500000000000002</v>
      </c>
      <c r="D534" s="4" t="s">
        <v>52</v>
      </c>
      <c r="E534" s="4" t="s">
        <v>52</v>
      </c>
      <c r="F534" s="4"/>
      <c r="G534" s="4"/>
      <c r="H534" s="3">
        <v>0.375</v>
      </c>
      <c r="I534" s="3">
        <v>0.375</v>
      </c>
      <c r="J534" s="3">
        <v>0.22500000000000001</v>
      </c>
      <c r="K534" s="4"/>
      <c r="L534" s="4"/>
      <c r="M534" s="4"/>
      <c r="N534" s="4"/>
      <c r="O534" s="4"/>
      <c r="P534" s="4"/>
    </row>
    <row r="535" spans="1:16" x14ac:dyDescent="0.25">
      <c r="A535" s="4" t="s">
        <v>251</v>
      </c>
      <c r="B535" s="4" t="s">
        <v>52</v>
      </c>
      <c r="C535" s="4" t="s">
        <v>52</v>
      </c>
      <c r="D535" s="4" t="s">
        <v>52</v>
      </c>
      <c r="E535" s="4" t="s">
        <v>52</v>
      </c>
      <c r="F535" s="4"/>
      <c r="G535" s="4"/>
      <c r="H535" s="3">
        <v>0.375</v>
      </c>
      <c r="I535" s="3">
        <v>0.375</v>
      </c>
      <c r="J535" s="3">
        <v>0.375</v>
      </c>
      <c r="K535" s="4"/>
      <c r="L535" s="4"/>
      <c r="M535" s="4"/>
      <c r="N535" s="4"/>
      <c r="O535" s="4"/>
      <c r="P535" s="4"/>
    </row>
    <row r="536" spans="1:16" x14ac:dyDescent="0.25">
      <c r="A536" s="4" t="s">
        <v>256</v>
      </c>
      <c r="B536" s="4" t="s">
        <v>52</v>
      </c>
      <c r="C536" s="4" t="s">
        <v>52</v>
      </c>
      <c r="D536" s="4" t="s">
        <v>52</v>
      </c>
      <c r="E536" s="4" t="s">
        <v>52</v>
      </c>
      <c r="F536" s="4"/>
      <c r="G536" s="4"/>
      <c r="H536" s="3">
        <v>0.375</v>
      </c>
      <c r="I536" s="3">
        <v>0.375</v>
      </c>
      <c r="J536" s="3">
        <v>0.375</v>
      </c>
      <c r="K536" s="4"/>
      <c r="L536" s="4"/>
      <c r="M536" s="4"/>
      <c r="N536" s="4"/>
      <c r="O536" s="4"/>
      <c r="P536" s="4"/>
    </row>
    <row r="537" spans="1:16" x14ac:dyDescent="0.25">
      <c r="A537" s="4" t="s">
        <v>259</v>
      </c>
      <c r="B537" s="4" t="s">
        <v>52</v>
      </c>
      <c r="C537" s="4" t="s">
        <v>52</v>
      </c>
      <c r="D537" s="3">
        <v>0.60069444444444442</v>
      </c>
      <c r="E537" s="3">
        <v>0.7090277777777777</v>
      </c>
      <c r="F537" s="4"/>
      <c r="G537" s="4"/>
      <c r="H537" s="3">
        <v>0.375</v>
      </c>
      <c r="I537" s="3">
        <v>0.375</v>
      </c>
      <c r="J537" s="3">
        <v>0.26666666666666666</v>
      </c>
      <c r="K537" s="4"/>
      <c r="L537" s="4"/>
      <c r="M537" s="4"/>
      <c r="N537" s="4"/>
      <c r="O537" s="4"/>
      <c r="P537" s="4"/>
    </row>
    <row r="538" spans="1:16" x14ac:dyDescent="0.25">
      <c r="A538" s="4" t="s">
        <v>260</v>
      </c>
      <c r="B538" s="4" t="s">
        <v>25</v>
      </c>
      <c r="C538" s="4" t="s">
        <v>25</v>
      </c>
      <c r="D538" s="4" t="s">
        <v>25</v>
      </c>
      <c r="E538" s="4" t="s">
        <v>25</v>
      </c>
      <c r="F538" s="4" t="s">
        <v>25</v>
      </c>
      <c r="G538" s="4" t="s">
        <v>25</v>
      </c>
      <c r="H538" s="4"/>
      <c r="I538" s="4"/>
      <c r="J538" s="4"/>
      <c r="K538" s="4"/>
      <c r="L538" s="4"/>
      <c r="M538" s="4"/>
      <c r="N538" s="4"/>
      <c r="O538" s="4"/>
      <c r="P538" s="4"/>
    </row>
    <row r="539" spans="1:16" x14ac:dyDescent="0.25">
      <c r="A539" s="4" t="s">
        <v>261</v>
      </c>
      <c r="B539" s="4" t="s">
        <v>25</v>
      </c>
      <c r="C539" s="4" t="s">
        <v>25</v>
      </c>
      <c r="D539" s="4" t="s">
        <v>25</v>
      </c>
      <c r="E539" s="4" t="s">
        <v>25</v>
      </c>
      <c r="F539" s="4" t="s">
        <v>25</v>
      </c>
      <c r="G539" s="4" t="s">
        <v>25</v>
      </c>
      <c r="H539" s="4"/>
      <c r="I539" s="4"/>
      <c r="J539" s="4"/>
      <c r="K539" s="4"/>
      <c r="L539" s="4"/>
      <c r="M539" s="4"/>
      <c r="N539" s="4"/>
      <c r="O539" s="4"/>
      <c r="P539" s="4"/>
    </row>
    <row r="540" spans="1:16" x14ac:dyDescent="0.25">
      <c r="A540" s="4" t="s">
        <v>262</v>
      </c>
      <c r="B540" s="3">
        <v>0.37638888888888888</v>
      </c>
      <c r="C540" s="3">
        <v>0.53749999999999998</v>
      </c>
      <c r="D540" s="3">
        <v>0.57847222222222217</v>
      </c>
      <c r="E540" s="3">
        <v>0.75069444444444444</v>
      </c>
      <c r="F540" s="4"/>
      <c r="G540" s="4"/>
      <c r="H540" s="3">
        <v>0.33333333333333331</v>
      </c>
      <c r="I540" s="3">
        <v>0.33333333333333331</v>
      </c>
      <c r="J540" s="4"/>
      <c r="K540" s="4"/>
      <c r="L540" s="4"/>
      <c r="M540" s="4"/>
      <c r="N540" s="4"/>
      <c r="O540" s="4"/>
      <c r="P540" s="4"/>
    </row>
    <row r="541" spans="1:16" x14ac:dyDescent="0.25">
      <c r="A541" s="4" t="s">
        <v>263</v>
      </c>
      <c r="B541" s="3">
        <v>0.38194444444444442</v>
      </c>
      <c r="C541" s="3">
        <v>0.52986111111111112</v>
      </c>
      <c r="D541" s="3">
        <v>0.56944444444444442</v>
      </c>
      <c r="E541" s="3">
        <v>0.79166666666666663</v>
      </c>
      <c r="F541" s="4"/>
      <c r="G541" s="4"/>
      <c r="H541" s="3">
        <v>0.375</v>
      </c>
      <c r="I541" s="3">
        <v>0.375</v>
      </c>
      <c r="J541" s="4"/>
      <c r="K541" s="4"/>
      <c r="L541" s="4"/>
      <c r="M541" s="4"/>
      <c r="N541" s="4"/>
      <c r="O541" s="4"/>
      <c r="P541" s="4"/>
    </row>
    <row r="542" spans="1:16" x14ac:dyDescent="0.25">
      <c r="A542" s="4" t="s">
        <v>264</v>
      </c>
      <c r="B542" s="3">
        <v>0.37916666666666665</v>
      </c>
      <c r="C542" s="3">
        <v>0.54166666666666663</v>
      </c>
      <c r="D542" s="3">
        <v>0.58333333333333337</v>
      </c>
      <c r="E542" s="3">
        <v>0.79166666666666663</v>
      </c>
      <c r="F542" s="4"/>
      <c r="G542" s="4"/>
      <c r="H542" s="3">
        <v>0.375</v>
      </c>
      <c r="I542" s="3">
        <v>0.375</v>
      </c>
      <c r="J542" s="4"/>
      <c r="K542" s="4"/>
      <c r="L542" s="4"/>
      <c r="M542" s="4"/>
      <c r="N542" s="4"/>
      <c r="O542" s="4"/>
      <c r="P542" s="4"/>
    </row>
    <row r="544" spans="1:16" x14ac:dyDescent="0.25">
      <c r="A544" s="7" t="s">
        <v>45</v>
      </c>
    </row>
    <row r="547" spans="1:13" x14ac:dyDescent="0.25">
      <c r="A547" s="7" t="s">
        <v>46</v>
      </c>
    </row>
    <row r="548" spans="1:13" x14ac:dyDescent="0.25">
      <c r="A548" s="7" t="s">
        <v>68</v>
      </c>
      <c r="F548" s="7" t="s">
        <v>47</v>
      </c>
    </row>
    <row r="549" spans="1:13" x14ac:dyDescent="0.25">
      <c r="F549" s="7"/>
    </row>
    <row r="553" spans="1:13" x14ac:dyDescent="0.25">
      <c r="G553" s="1" t="s">
        <v>18</v>
      </c>
    </row>
    <row r="554" spans="1:13" x14ac:dyDescent="0.25">
      <c r="A554" s="1" t="s">
        <v>1</v>
      </c>
      <c r="B554" t="s">
        <v>2</v>
      </c>
      <c r="H554" s="1" t="s">
        <v>19</v>
      </c>
      <c r="I554" s="1" t="s">
        <v>20</v>
      </c>
      <c r="J554" s="1" t="s">
        <v>21</v>
      </c>
      <c r="K554" s="1" t="s">
        <v>22</v>
      </c>
      <c r="L554" s="1" t="s">
        <v>23</v>
      </c>
      <c r="M554" s="1" t="s">
        <v>24</v>
      </c>
    </row>
    <row r="555" spans="1:13" x14ac:dyDescent="0.25">
      <c r="A555" s="1" t="s">
        <v>3</v>
      </c>
      <c r="B555" t="s">
        <v>4</v>
      </c>
      <c r="G555" s="1" t="s">
        <v>220</v>
      </c>
      <c r="H555" s="3">
        <v>0.54166666666666663</v>
      </c>
      <c r="I555" s="3">
        <v>0.79166666666666663</v>
      </c>
      <c r="J555" s="3">
        <v>0.83333333333333337</v>
      </c>
      <c r="K555" s="3">
        <v>0.91666666666666663</v>
      </c>
      <c r="L555" s="4"/>
      <c r="M555" s="4"/>
    </row>
    <row r="556" spans="1:13" x14ac:dyDescent="0.25">
      <c r="A556" s="1" t="s">
        <v>5</v>
      </c>
      <c r="B556" t="s">
        <v>6</v>
      </c>
      <c r="G556" s="1" t="s">
        <v>221</v>
      </c>
      <c r="H556" s="3">
        <v>0.5</v>
      </c>
      <c r="I556" s="3">
        <v>0.79166666666666663</v>
      </c>
      <c r="J556" s="3">
        <v>0.83333333333333337</v>
      </c>
      <c r="K556" s="3">
        <v>0.91666666666666663</v>
      </c>
      <c r="L556" s="4"/>
      <c r="M556" s="4"/>
    </row>
    <row r="557" spans="1:13" x14ac:dyDescent="0.25">
      <c r="G557" s="1" t="s">
        <v>222</v>
      </c>
      <c r="H557" s="3">
        <v>0.5</v>
      </c>
      <c r="I557" s="3">
        <v>0.79166666666666663</v>
      </c>
      <c r="J557" s="3">
        <v>0.83333333333333337</v>
      </c>
      <c r="K557" s="3">
        <v>0.91666666666666663</v>
      </c>
      <c r="L557" s="4"/>
      <c r="M557" s="4"/>
    </row>
    <row r="558" spans="1:13" x14ac:dyDescent="0.25">
      <c r="A558" s="1" t="s">
        <v>7</v>
      </c>
      <c r="B558" t="s">
        <v>70</v>
      </c>
      <c r="G558" s="1" t="s">
        <v>223</v>
      </c>
      <c r="H558" s="3">
        <v>0.5</v>
      </c>
      <c r="I558" s="3">
        <v>0.79166666666666663</v>
      </c>
      <c r="J558" s="3">
        <v>0.83333333333333337</v>
      </c>
      <c r="K558" s="3">
        <v>0.91666666666666663</v>
      </c>
      <c r="L558" s="4"/>
      <c r="M558" s="4"/>
    </row>
    <row r="559" spans="1:13" x14ac:dyDescent="0.25">
      <c r="A559" s="1" t="s">
        <v>9</v>
      </c>
      <c r="B559" t="s">
        <v>71</v>
      </c>
      <c r="D559" s="1" t="s">
        <v>11</v>
      </c>
      <c r="E559" t="s">
        <v>71</v>
      </c>
      <c r="G559" s="1" t="s">
        <v>224</v>
      </c>
      <c r="H559" s="3">
        <v>0.5</v>
      </c>
      <c r="I559" s="3">
        <v>0.79166666666666663</v>
      </c>
      <c r="J559" s="3">
        <v>0.83333333333333337</v>
      </c>
      <c r="K559" s="3">
        <v>0.91666666666666663</v>
      </c>
      <c r="L559" s="4"/>
      <c r="M559" s="4"/>
    </row>
    <row r="560" spans="1:13" x14ac:dyDescent="0.25">
      <c r="A560" s="1" t="s">
        <v>12</v>
      </c>
      <c r="D560" s="1" t="s">
        <v>13</v>
      </c>
      <c r="E560" s="2">
        <v>42758</v>
      </c>
      <c r="G560" s="1" t="s">
        <v>225</v>
      </c>
      <c r="H560" s="4" t="s">
        <v>25</v>
      </c>
      <c r="I560" s="4" t="s">
        <v>25</v>
      </c>
      <c r="J560" s="4" t="s">
        <v>25</v>
      </c>
      <c r="K560" s="4" t="s">
        <v>25</v>
      </c>
      <c r="L560" s="4" t="s">
        <v>25</v>
      </c>
      <c r="M560" s="4" t="s">
        <v>25</v>
      </c>
    </row>
    <row r="561" spans="1:16" x14ac:dyDescent="0.25">
      <c r="A561" s="1" t="s">
        <v>14</v>
      </c>
      <c r="B561" t="s">
        <v>58</v>
      </c>
      <c r="G561" s="1" t="s">
        <v>226</v>
      </c>
      <c r="H561" s="4" t="s">
        <v>25</v>
      </c>
      <c r="I561" s="4" t="s">
        <v>25</v>
      </c>
      <c r="J561" s="4" t="s">
        <v>25</v>
      </c>
      <c r="K561" s="4" t="s">
        <v>25</v>
      </c>
      <c r="L561" s="4" t="s">
        <v>25</v>
      </c>
      <c r="M561" s="4" t="s">
        <v>25</v>
      </c>
    </row>
    <row r="562" spans="1:16" x14ac:dyDescent="0.25">
      <c r="A562" s="1" t="s">
        <v>16</v>
      </c>
      <c r="B562" t="s">
        <v>17</v>
      </c>
    </row>
    <row r="565" spans="1:16" x14ac:dyDescent="0.25">
      <c r="A565" s="5" t="s">
        <v>26</v>
      </c>
      <c r="B565" s="5" t="s">
        <v>27</v>
      </c>
      <c r="C565" s="5" t="s">
        <v>28</v>
      </c>
      <c r="D565" s="5" t="s">
        <v>29</v>
      </c>
      <c r="E565" s="5" t="s">
        <v>30</v>
      </c>
      <c r="F565" s="5" t="s">
        <v>31</v>
      </c>
      <c r="G565" s="5" t="s">
        <v>32</v>
      </c>
      <c r="H565" s="5" t="s">
        <v>33</v>
      </c>
      <c r="I565" s="5" t="s">
        <v>34</v>
      </c>
      <c r="J565" s="5" t="s">
        <v>35</v>
      </c>
      <c r="K565" s="5" t="s">
        <v>36</v>
      </c>
      <c r="L565" s="5" t="s">
        <v>37</v>
      </c>
      <c r="M565" s="5" t="s">
        <v>38</v>
      </c>
      <c r="N565" s="5" t="s">
        <v>39</v>
      </c>
      <c r="O565" s="5" t="s">
        <v>40</v>
      </c>
      <c r="P565" s="5" t="s">
        <v>41</v>
      </c>
    </row>
    <row r="566" spans="1:16" x14ac:dyDescent="0.25">
      <c r="A566" s="4"/>
      <c r="B566" s="4"/>
      <c r="C566" s="4"/>
      <c r="D566" s="4"/>
      <c r="E566" s="4"/>
      <c r="F566" s="4"/>
      <c r="G566" s="4"/>
      <c r="H566" s="6">
        <v>8.0416666666666661</v>
      </c>
      <c r="I566" s="6">
        <v>7.7673611111111107</v>
      </c>
      <c r="J566" s="6">
        <v>1.4284722222222221</v>
      </c>
      <c r="K566" s="3">
        <v>0</v>
      </c>
      <c r="L566" s="3">
        <v>0</v>
      </c>
      <c r="M566" s="3">
        <v>0</v>
      </c>
      <c r="N566" s="3">
        <v>5.0694444444444452E-2</v>
      </c>
      <c r="O566" s="3">
        <v>0.27430555555555552</v>
      </c>
      <c r="P566" s="3">
        <v>5.9722222222222225E-2</v>
      </c>
    </row>
    <row r="567" spans="1:16" x14ac:dyDescent="0.25">
      <c r="A567" s="4" t="s">
        <v>227</v>
      </c>
      <c r="B567" s="3">
        <v>0.54236111111111118</v>
      </c>
      <c r="C567" s="3">
        <v>0.57222222222222219</v>
      </c>
      <c r="D567" s="3">
        <v>0.61319444444444449</v>
      </c>
      <c r="E567" s="3">
        <v>0.64166666666666672</v>
      </c>
      <c r="F567" s="4"/>
      <c r="G567" s="4"/>
      <c r="H567" s="3">
        <v>0.33333333333333331</v>
      </c>
      <c r="I567" s="3">
        <v>5.9027777777777783E-2</v>
      </c>
      <c r="J567" s="4"/>
      <c r="K567" s="4"/>
      <c r="L567" s="4"/>
      <c r="M567" s="4"/>
      <c r="N567" s="4"/>
      <c r="O567" s="3">
        <v>0.27430555555555552</v>
      </c>
      <c r="P567" s="4"/>
    </row>
    <row r="568" spans="1:16" x14ac:dyDescent="0.25">
      <c r="A568" s="4" t="s">
        <v>228</v>
      </c>
      <c r="B568" s="3">
        <v>0.50069444444444444</v>
      </c>
      <c r="C568" s="3">
        <v>0.67083333333333339</v>
      </c>
      <c r="D568" s="3">
        <v>0.71111111111111114</v>
      </c>
      <c r="E568" s="3">
        <v>0.92222222222222217</v>
      </c>
      <c r="F568" s="4"/>
      <c r="G568" s="4"/>
      <c r="H568" s="3">
        <v>0.375</v>
      </c>
      <c r="I568" s="3">
        <v>0.375</v>
      </c>
      <c r="J568" s="4"/>
      <c r="K568" s="4"/>
      <c r="L568" s="4"/>
      <c r="M568" s="4"/>
      <c r="N568" s="3">
        <v>5.5555555555555558E-3</v>
      </c>
      <c r="O568" s="4"/>
      <c r="P568" s="3">
        <v>6.9444444444444441E-3</v>
      </c>
    </row>
    <row r="569" spans="1:16" x14ac:dyDescent="0.25">
      <c r="A569" s="4" t="s">
        <v>229</v>
      </c>
      <c r="B569" s="3">
        <v>0.49583333333333335</v>
      </c>
      <c r="C569" s="3">
        <v>0.55763888888888891</v>
      </c>
      <c r="D569" s="3">
        <v>0.59861111111111109</v>
      </c>
      <c r="E569" s="3">
        <v>0.92291666666666661</v>
      </c>
      <c r="F569" s="4"/>
      <c r="G569" s="4"/>
      <c r="H569" s="3">
        <v>0.375</v>
      </c>
      <c r="I569" s="3">
        <v>0.375</v>
      </c>
      <c r="J569" s="4"/>
      <c r="K569" s="4"/>
      <c r="L569" s="4"/>
      <c r="M569" s="4"/>
      <c r="N569" s="3">
        <v>6.2499999999999995E-3</v>
      </c>
      <c r="O569" s="4"/>
      <c r="P569" s="3">
        <v>1.1111111111111112E-2</v>
      </c>
    </row>
    <row r="570" spans="1:16" x14ac:dyDescent="0.25">
      <c r="A570" s="4" t="s">
        <v>230</v>
      </c>
      <c r="B570" s="3">
        <v>0.49236111111111108</v>
      </c>
      <c r="C570" s="3">
        <v>0.56527777777777777</v>
      </c>
      <c r="D570" s="3">
        <v>0.61249999999999993</v>
      </c>
      <c r="E570" s="3">
        <v>0.9159722222222223</v>
      </c>
      <c r="F570" s="4"/>
      <c r="G570" s="4"/>
      <c r="H570" s="3">
        <v>0.375</v>
      </c>
      <c r="I570" s="3">
        <v>0.375</v>
      </c>
      <c r="J570" s="4"/>
      <c r="K570" s="4"/>
      <c r="L570" s="4"/>
      <c r="M570" s="4"/>
      <c r="N570" s="4"/>
      <c r="O570" s="4"/>
      <c r="P570" s="4"/>
    </row>
    <row r="571" spans="1:16" x14ac:dyDescent="0.25">
      <c r="A571" s="4" t="s">
        <v>231</v>
      </c>
      <c r="B571" s="3">
        <v>0.49513888888888885</v>
      </c>
      <c r="C571" s="3">
        <v>0.54791666666666672</v>
      </c>
      <c r="D571" s="3">
        <v>0.58819444444444446</v>
      </c>
      <c r="E571" s="3">
        <v>0.91666666666666663</v>
      </c>
      <c r="F571" s="4"/>
      <c r="G571" s="4"/>
      <c r="H571" s="3">
        <v>0.375</v>
      </c>
      <c r="I571" s="3">
        <v>0.375</v>
      </c>
      <c r="J571" s="4"/>
      <c r="K571" s="4"/>
      <c r="L571" s="4"/>
      <c r="M571" s="4"/>
      <c r="N571" s="4"/>
      <c r="O571" s="4"/>
      <c r="P571" s="4"/>
    </row>
    <row r="572" spans="1:16" x14ac:dyDescent="0.25">
      <c r="A572" s="4" t="s">
        <v>232</v>
      </c>
      <c r="B572" s="4" t="s">
        <v>25</v>
      </c>
      <c r="C572" s="4" t="s">
        <v>25</v>
      </c>
      <c r="D572" s="4" t="s">
        <v>25</v>
      </c>
      <c r="E572" s="4" t="s">
        <v>25</v>
      </c>
      <c r="F572" s="4" t="s">
        <v>25</v>
      </c>
      <c r="G572" s="4" t="s">
        <v>25</v>
      </c>
      <c r="H572" s="4"/>
      <c r="I572" s="4"/>
      <c r="J572" s="4"/>
      <c r="K572" s="4"/>
      <c r="L572" s="4"/>
      <c r="M572" s="4"/>
      <c r="N572" s="4"/>
      <c r="O572" s="4"/>
      <c r="P572" s="4"/>
    </row>
    <row r="573" spans="1:16" x14ac:dyDescent="0.25">
      <c r="A573" s="4" t="s">
        <v>233</v>
      </c>
      <c r="B573" s="4" t="s">
        <v>25</v>
      </c>
      <c r="C573" s="4" t="s">
        <v>25</v>
      </c>
      <c r="D573" s="4" t="s">
        <v>25</v>
      </c>
      <c r="E573" s="4" t="s">
        <v>25</v>
      </c>
      <c r="F573" s="4" t="s">
        <v>25</v>
      </c>
      <c r="G573" s="4" t="s">
        <v>25</v>
      </c>
      <c r="H573" s="4"/>
      <c r="I573" s="4"/>
      <c r="J573" s="4"/>
      <c r="K573" s="4"/>
      <c r="L573" s="4"/>
      <c r="M573" s="4"/>
      <c r="N573" s="4"/>
      <c r="O573" s="4"/>
      <c r="P573" s="4"/>
    </row>
    <row r="574" spans="1:16" x14ac:dyDescent="0.25">
      <c r="A574" s="4" t="s">
        <v>234</v>
      </c>
      <c r="B574" s="3">
        <v>0.54166666666666663</v>
      </c>
      <c r="C574" s="3">
        <v>0.56388888888888888</v>
      </c>
      <c r="D574" s="3">
        <v>0.60486111111111118</v>
      </c>
      <c r="E574" s="3">
        <v>0.92222222222222217</v>
      </c>
      <c r="F574" s="4"/>
      <c r="G574" s="4"/>
      <c r="H574" s="3">
        <v>0.33333333333333331</v>
      </c>
      <c r="I574" s="3">
        <v>0.33333333333333331</v>
      </c>
      <c r="J574" s="4"/>
      <c r="K574" s="4"/>
      <c r="L574" s="4"/>
      <c r="M574" s="4"/>
      <c r="N574" s="3">
        <v>5.5555555555555558E-3</v>
      </c>
      <c r="O574" s="4"/>
      <c r="P574" s="4"/>
    </row>
    <row r="575" spans="1:16" x14ac:dyDescent="0.25">
      <c r="A575" s="4" t="s">
        <v>235</v>
      </c>
      <c r="B575" s="3">
        <v>0.4993055555555555</v>
      </c>
      <c r="C575" s="3">
        <v>0.56597222222222221</v>
      </c>
      <c r="D575" s="3">
        <v>0.60833333333333328</v>
      </c>
      <c r="E575" s="3">
        <v>0.92152777777777783</v>
      </c>
      <c r="F575" s="4"/>
      <c r="G575" s="4"/>
      <c r="H575" s="3">
        <v>0.375</v>
      </c>
      <c r="I575" s="3">
        <v>0.375</v>
      </c>
      <c r="J575" s="4"/>
      <c r="K575" s="4"/>
      <c r="L575" s="4"/>
      <c r="M575" s="4"/>
      <c r="N575" s="3">
        <v>4.8611111111111112E-3</v>
      </c>
      <c r="O575" s="4"/>
      <c r="P575" s="4"/>
    </row>
    <row r="576" spans="1:16" x14ac:dyDescent="0.25">
      <c r="A576" s="4" t="s">
        <v>236</v>
      </c>
      <c r="B576" s="3">
        <v>0.49236111111111108</v>
      </c>
      <c r="C576" s="3">
        <v>0.56597222222222221</v>
      </c>
      <c r="D576" s="3">
        <v>0.60486111111111118</v>
      </c>
      <c r="E576" s="3">
        <v>0.9159722222222223</v>
      </c>
      <c r="F576" s="4"/>
      <c r="G576" s="4"/>
      <c r="H576" s="3">
        <v>0.375</v>
      </c>
      <c r="I576" s="3">
        <v>0.375</v>
      </c>
      <c r="J576" s="4"/>
      <c r="K576" s="4"/>
      <c r="L576" s="4"/>
      <c r="M576" s="4"/>
      <c r="N576" s="4"/>
      <c r="O576" s="4"/>
      <c r="P576" s="3">
        <v>1.0416666666666666E-2</v>
      </c>
    </row>
    <row r="577" spans="1:16" x14ac:dyDescent="0.25">
      <c r="A577" s="4" t="s">
        <v>237</v>
      </c>
      <c r="B577" s="3">
        <v>0.49583333333333335</v>
      </c>
      <c r="C577" s="3">
        <v>0.56666666666666665</v>
      </c>
      <c r="D577" s="3">
        <v>0.60763888888888895</v>
      </c>
      <c r="E577" s="3">
        <v>0.91736111111111107</v>
      </c>
      <c r="F577" s="4"/>
      <c r="G577" s="4"/>
      <c r="H577" s="3">
        <v>0.375</v>
      </c>
      <c r="I577" s="3">
        <v>0.375</v>
      </c>
      <c r="J577" s="4"/>
      <c r="K577" s="4"/>
      <c r="L577" s="4"/>
      <c r="M577" s="4"/>
      <c r="N577" s="4"/>
      <c r="O577" s="4"/>
      <c r="P577" s="4"/>
    </row>
    <row r="578" spans="1:16" x14ac:dyDescent="0.25">
      <c r="A578" s="4" t="s">
        <v>238</v>
      </c>
      <c r="B578" s="3">
        <v>0.5</v>
      </c>
      <c r="C578" s="3">
        <v>0.56736111111111109</v>
      </c>
      <c r="D578" s="3">
        <v>0.60972222222222217</v>
      </c>
      <c r="E578" s="3">
        <v>0.91736111111111107</v>
      </c>
      <c r="F578" s="4"/>
      <c r="G578" s="4"/>
      <c r="H578" s="3">
        <v>0.375</v>
      </c>
      <c r="I578" s="3">
        <v>0.375</v>
      </c>
      <c r="J578" s="4"/>
      <c r="K578" s="4"/>
      <c r="L578" s="4"/>
      <c r="M578" s="4"/>
      <c r="N578" s="4"/>
      <c r="O578" s="4"/>
      <c r="P578" s="4"/>
    </row>
    <row r="579" spans="1:16" x14ac:dyDescent="0.25">
      <c r="A579" s="4" t="s">
        <v>239</v>
      </c>
      <c r="B579" s="4" t="s">
        <v>25</v>
      </c>
      <c r="C579" s="4" t="s">
        <v>25</v>
      </c>
      <c r="D579" s="4" t="s">
        <v>25</v>
      </c>
      <c r="E579" s="4" t="s">
        <v>25</v>
      </c>
      <c r="F579" s="4" t="s">
        <v>25</v>
      </c>
      <c r="G579" s="4" t="s">
        <v>25</v>
      </c>
      <c r="H579" s="4"/>
      <c r="I579" s="4"/>
      <c r="J579" s="4"/>
      <c r="K579" s="4"/>
      <c r="L579" s="4"/>
      <c r="M579" s="4"/>
      <c r="N579" s="4"/>
      <c r="O579" s="4"/>
      <c r="P579" s="4"/>
    </row>
    <row r="580" spans="1:16" x14ac:dyDescent="0.25">
      <c r="A580" s="4" t="s">
        <v>240</v>
      </c>
      <c r="B580" s="4" t="s">
        <v>25</v>
      </c>
      <c r="C580" s="4" t="s">
        <v>25</v>
      </c>
      <c r="D580" s="4" t="s">
        <v>25</v>
      </c>
      <c r="E580" s="4" t="s">
        <v>25</v>
      </c>
      <c r="F580" s="4" t="s">
        <v>25</v>
      </c>
      <c r="G580" s="4" t="s">
        <v>25</v>
      </c>
      <c r="H580" s="4"/>
      <c r="I580" s="4"/>
      <c r="J580" s="4"/>
      <c r="K580" s="4"/>
      <c r="L580" s="4"/>
      <c r="M580" s="4"/>
      <c r="N580" s="4"/>
      <c r="O580" s="4"/>
      <c r="P580" s="4"/>
    </row>
    <row r="581" spans="1:16" x14ac:dyDescent="0.25">
      <c r="A581" s="4" t="s">
        <v>241</v>
      </c>
      <c r="B581" s="3">
        <v>0.54375000000000007</v>
      </c>
      <c r="C581" s="3">
        <v>0.64166666666666672</v>
      </c>
      <c r="D581" s="3">
        <v>0.68263888888888891</v>
      </c>
      <c r="E581" s="3">
        <v>0.92083333333333339</v>
      </c>
      <c r="F581" s="4"/>
      <c r="G581" s="4"/>
      <c r="H581" s="3">
        <v>0.33333333333333331</v>
      </c>
      <c r="I581" s="3">
        <v>0.33333333333333331</v>
      </c>
      <c r="J581" s="4"/>
      <c r="K581" s="4"/>
      <c r="L581" s="4"/>
      <c r="M581" s="4"/>
      <c r="N581" s="3">
        <v>4.1666666666666666E-3</v>
      </c>
      <c r="O581" s="4"/>
      <c r="P581" s="4"/>
    </row>
    <row r="582" spans="1:16" x14ac:dyDescent="0.25">
      <c r="A582" s="4" t="s">
        <v>242</v>
      </c>
      <c r="B582" s="3">
        <v>0.50555555555555554</v>
      </c>
      <c r="C582" s="3">
        <v>0.57222222222222219</v>
      </c>
      <c r="D582" s="3">
        <v>0.61319444444444449</v>
      </c>
      <c r="E582" s="3">
        <v>0.92152777777777783</v>
      </c>
      <c r="F582" s="4"/>
      <c r="G582" s="4"/>
      <c r="H582" s="3">
        <v>0.375</v>
      </c>
      <c r="I582" s="3">
        <v>0.375</v>
      </c>
      <c r="J582" s="4"/>
      <c r="K582" s="4"/>
      <c r="L582" s="4"/>
      <c r="M582" s="4"/>
      <c r="N582" s="3">
        <v>4.8611111111111112E-3</v>
      </c>
      <c r="O582" s="4"/>
      <c r="P582" s="4"/>
    </row>
    <row r="583" spans="1:16" x14ac:dyDescent="0.25">
      <c r="A583" s="4" t="s">
        <v>243</v>
      </c>
      <c r="B583" s="3">
        <v>0.4993055555555555</v>
      </c>
      <c r="C583" s="3">
        <v>0.58402777777777781</v>
      </c>
      <c r="D583" s="3">
        <v>0.625</v>
      </c>
      <c r="E583" s="3">
        <v>0.91666666666666663</v>
      </c>
      <c r="F583" s="4"/>
      <c r="G583" s="4"/>
      <c r="H583" s="3">
        <v>0.375</v>
      </c>
      <c r="I583" s="3">
        <v>0.375</v>
      </c>
      <c r="J583" s="4"/>
      <c r="K583" s="4"/>
      <c r="L583" s="4"/>
      <c r="M583" s="4"/>
      <c r="N583" s="4"/>
      <c r="O583" s="4"/>
      <c r="P583" s="4"/>
    </row>
    <row r="584" spans="1:16" x14ac:dyDescent="0.25">
      <c r="A584" s="4" t="s">
        <v>244</v>
      </c>
      <c r="B584" s="4" t="s">
        <v>265</v>
      </c>
      <c r="C584" s="4" t="s">
        <v>265</v>
      </c>
      <c r="D584" s="4" t="s">
        <v>265</v>
      </c>
      <c r="E584" s="4" t="s">
        <v>265</v>
      </c>
      <c r="F584" s="4"/>
      <c r="G584" s="4"/>
      <c r="H584" s="4"/>
      <c r="I584" s="4"/>
      <c r="J584" s="4"/>
      <c r="K584" s="4"/>
      <c r="L584" s="4"/>
      <c r="M584" s="4"/>
      <c r="N584" s="4"/>
      <c r="O584" s="4"/>
      <c r="P584" s="4"/>
    </row>
    <row r="585" spans="1:16" x14ac:dyDescent="0.25">
      <c r="A585" s="4" t="s">
        <v>245</v>
      </c>
      <c r="B585" s="4" t="s">
        <v>52</v>
      </c>
      <c r="C585" s="4" t="s">
        <v>52</v>
      </c>
      <c r="D585" s="4" t="s">
        <v>52</v>
      </c>
      <c r="E585" s="4" t="s">
        <v>52</v>
      </c>
      <c r="F585" s="4"/>
      <c r="G585" s="4"/>
      <c r="H585" s="3">
        <v>0.375</v>
      </c>
      <c r="I585" s="3">
        <v>0.375</v>
      </c>
      <c r="J585" s="3">
        <v>0.375</v>
      </c>
      <c r="K585" s="4"/>
      <c r="L585" s="4"/>
      <c r="M585" s="4"/>
      <c r="N585" s="4"/>
      <c r="O585" s="4"/>
      <c r="P585" s="4"/>
    </row>
    <row r="586" spans="1:16" x14ac:dyDescent="0.25">
      <c r="A586" s="4" t="s">
        <v>246</v>
      </c>
      <c r="B586" s="4" t="s">
        <v>25</v>
      </c>
      <c r="C586" s="4" t="s">
        <v>25</v>
      </c>
      <c r="D586" s="4" t="s">
        <v>25</v>
      </c>
      <c r="E586" s="4" t="s">
        <v>25</v>
      </c>
      <c r="F586" s="4" t="s">
        <v>25</v>
      </c>
      <c r="G586" s="4" t="s">
        <v>25</v>
      </c>
      <c r="H586" s="4"/>
      <c r="I586" s="4"/>
      <c r="J586" s="4"/>
      <c r="K586" s="4"/>
      <c r="L586" s="4"/>
      <c r="M586" s="4"/>
      <c r="N586" s="4"/>
      <c r="O586" s="4"/>
      <c r="P586" s="4"/>
    </row>
    <row r="587" spans="1:16" x14ac:dyDescent="0.25">
      <c r="A587" s="4" t="s">
        <v>247</v>
      </c>
      <c r="B587" s="4" t="s">
        <v>25</v>
      </c>
      <c r="C587" s="4" t="s">
        <v>25</v>
      </c>
      <c r="D587" s="4" t="s">
        <v>25</v>
      </c>
      <c r="E587" s="4" t="s">
        <v>25</v>
      </c>
      <c r="F587" s="4" t="s">
        <v>25</v>
      </c>
      <c r="G587" s="4" t="s">
        <v>25</v>
      </c>
      <c r="H587" s="4"/>
      <c r="I587" s="4"/>
      <c r="J587" s="4"/>
      <c r="K587" s="4"/>
      <c r="L587" s="4"/>
      <c r="M587" s="4"/>
      <c r="N587" s="4"/>
      <c r="O587" s="4"/>
      <c r="P587" s="4"/>
    </row>
    <row r="588" spans="1:16" x14ac:dyDescent="0.25">
      <c r="A588" s="4" t="s">
        <v>248</v>
      </c>
      <c r="B588" s="3">
        <v>0.5395833333333333</v>
      </c>
      <c r="C588" s="3">
        <v>0.56527777777777777</v>
      </c>
      <c r="D588" s="3">
        <v>0.60347222222222219</v>
      </c>
      <c r="E588" s="3">
        <v>0.92083333333333339</v>
      </c>
      <c r="F588" s="4"/>
      <c r="G588" s="4"/>
      <c r="H588" s="3">
        <v>0.33333333333333331</v>
      </c>
      <c r="I588" s="3">
        <v>0.33333333333333331</v>
      </c>
      <c r="J588" s="4"/>
      <c r="K588" s="4"/>
      <c r="L588" s="4"/>
      <c r="M588" s="4"/>
      <c r="N588" s="3">
        <v>4.1666666666666666E-3</v>
      </c>
      <c r="O588" s="4"/>
      <c r="P588" s="3">
        <v>7.6388888888888886E-3</v>
      </c>
    </row>
    <row r="589" spans="1:16" x14ac:dyDescent="0.25">
      <c r="A589" s="4" t="s">
        <v>249</v>
      </c>
      <c r="B589" s="3">
        <v>0.49791666666666662</v>
      </c>
      <c r="C589" s="3">
        <v>0.57152777777777775</v>
      </c>
      <c r="D589" s="4" t="s">
        <v>52</v>
      </c>
      <c r="E589" s="4" t="s">
        <v>52</v>
      </c>
      <c r="F589" s="4"/>
      <c r="G589" s="4"/>
      <c r="H589" s="3">
        <v>0.375</v>
      </c>
      <c r="I589" s="3">
        <v>0.375</v>
      </c>
      <c r="J589" s="3">
        <v>0.3034722222222222</v>
      </c>
      <c r="K589" s="4"/>
      <c r="L589" s="4"/>
      <c r="M589" s="4"/>
      <c r="N589" s="4"/>
      <c r="O589" s="4"/>
      <c r="P589" s="4"/>
    </row>
    <row r="590" spans="1:16" x14ac:dyDescent="0.25">
      <c r="A590" s="4" t="s">
        <v>251</v>
      </c>
      <c r="B590" s="4" t="s">
        <v>52</v>
      </c>
      <c r="C590" s="4" t="s">
        <v>52</v>
      </c>
      <c r="D590" s="4" t="s">
        <v>52</v>
      </c>
      <c r="E590" s="4" t="s">
        <v>52</v>
      </c>
      <c r="F590" s="4"/>
      <c r="G590" s="4"/>
      <c r="H590" s="3">
        <v>0.375</v>
      </c>
      <c r="I590" s="3">
        <v>0.375</v>
      </c>
      <c r="J590" s="3">
        <v>0.375</v>
      </c>
      <c r="K590" s="4"/>
      <c r="L590" s="4"/>
      <c r="M590" s="4"/>
      <c r="N590" s="4"/>
      <c r="O590" s="4"/>
      <c r="P590" s="4"/>
    </row>
    <row r="591" spans="1:16" x14ac:dyDescent="0.25">
      <c r="A591" s="4" t="s">
        <v>256</v>
      </c>
      <c r="B591" s="4" t="s">
        <v>52</v>
      </c>
      <c r="C591" s="4" t="s">
        <v>52</v>
      </c>
      <c r="D591" s="4" t="s">
        <v>52</v>
      </c>
      <c r="E591" s="4" t="s">
        <v>52</v>
      </c>
      <c r="F591" s="4"/>
      <c r="G591" s="4"/>
      <c r="H591" s="3">
        <v>0.375</v>
      </c>
      <c r="I591" s="3">
        <v>0.375</v>
      </c>
      <c r="J591" s="3">
        <v>0.375</v>
      </c>
      <c r="K591" s="4"/>
      <c r="L591" s="4"/>
      <c r="M591" s="4"/>
      <c r="N591" s="4"/>
      <c r="O591" s="4"/>
      <c r="P591" s="4"/>
    </row>
    <row r="592" spans="1:16" x14ac:dyDescent="0.25">
      <c r="A592" s="4" t="s">
        <v>259</v>
      </c>
      <c r="B592" s="3">
        <v>0.4993055555555555</v>
      </c>
      <c r="C592" s="3">
        <v>0.5541666666666667</v>
      </c>
      <c r="D592" s="3">
        <v>0.6</v>
      </c>
      <c r="E592" s="3">
        <v>0.92083333333333339</v>
      </c>
      <c r="F592" s="4"/>
      <c r="G592" s="4"/>
      <c r="H592" s="3">
        <v>0.375</v>
      </c>
      <c r="I592" s="3">
        <v>0.375</v>
      </c>
      <c r="J592" s="4"/>
      <c r="K592" s="4"/>
      <c r="L592" s="4"/>
      <c r="M592" s="4"/>
      <c r="N592" s="3">
        <v>4.1666666666666666E-3</v>
      </c>
      <c r="O592" s="4"/>
      <c r="P592" s="4"/>
    </row>
    <row r="593" spans="1:16" x14ac:dyDescent="0.25">
      <c r="A593" s="4" t="s">
        <v>260</v>
      </c>
      <c r="B593" s="4" t="s">
        <v>25</v>
      </c>
      <c r="C593" s="4" t="s">
        <v>25</v>
      </c>
      <c r="D593" s="4" t="s">
        <v>25</v>
      </c>
      <c r="E593" s="4" t="s">
        <v>25</v>
      </c>
      <c r="F593" s="4" t="s">
        <v>25</v>
      </c>
      <c r="G593" s="4" t="s">
        <v>25</v>
      </c>
      <c r="H593" s="4"/>
      <c r="I593" s="4"/>
      <c r="J593" s="4"/>
      <c r="K593" s="4"/>
      <c r="L593" s="4"/>
      <c r="M593" s="4"/>
      <c r="N593" s="4"/>
      <c r="O593" s="4"/>
      <c r="P593" s="4"/>
    </row>
    <row r="594" spans="1:16" x14ac:dyDescent="0.25">
      <c r="A594" s="4" t="s">
        <v>261</v>
      </c>
      <c r="B594" s="4" t="s">
        <v>25</v>
      </c>
      <c r="C594" s="4" t="s">
        <v>25</v>
      </c>
      <c r="D594" s="4" t="s">
        <v>25</v>
      </c>
      <c r="E594" s="4" t="s">
        <v>25</v>
      </c>
      <c r="F594" s="4" t="s">
        <v>25</v>
      </c>
      <c r="G594" s="4" t="s">
        <v>25</v>
      </c>
      <c r="H594" s="4"/>
      <c r="I594" s="4"/>
      <c r="J594" s="4"/>
      <c r="K594" s="4"/>
      <c r="L594" s="4"/>
      <c r="M594" s="4"/>
      <c r="N594" s="4"/>
      <c r="O594" s="4"/>
      <c r="P594" s="4"/>
    </row>
    <row r="595" spans="1:16" x14ac:dyDescent="0.25">
      <c r="A595" s="4" t="s">
        <v>262</v>
      </c>
      <c r="B595" s="3">
        <v>0.53472222222222221</v>
      </c>
      <c r="C595" s="3">
        <v>0.56388888888888888</v>
      </c>
      <c r="D595" s="3">
        <v>0.60347222222222219</v>
      </c>
      <c r="E595" s="3">
        <v>0.92222222222222217</v>
      </c>
      <c r="F595" s="4"/>
      <c r="G595" s="4"/>
      <c r="H595" s="3">
        <v>0.33333333333333331</v>
      </c>
      <c r="I595" s="3">
        <v>0.33333333333333331</v>
      </c>
      <c r="J595" s="4"/>
      <c r="K595" s="4"/>
      <c r="L595" s="4"/>
      <c r="M595" s="4"/>
      <c r="N595" s="3">
        <v>5.5555555555555558E-3</v>
      </c>
      <c r="O595" s="4"/>
      <c r="P595" s="3">
        <v>1.4583333333333332E-2</v>
      </c>
    </row>
    <row r="596" spans="1:16" x14ac:dyDescent="0.25">
      <c r="A596" s="4" t="s">
        <v>263</v>
      </c>
      <c r="B596" s="3">
        <v>0.49305555555555558</v>
      </c>
      <c r="C596" s="3">
        <v>0.56597222222222221</v>
      </c>
      <c r="D596" s="3">
        <v>0.61111111111111105</v>
      </c>
      <c r="E596" s="3">
        <v>0.9145833333333333</v>
      </c>
      <c r="F596" s="4"/>
      <c r="G596" s="4"/>
      <c r="H596" s="3">
        <v>0.375</v>
      </c>
      <c r="I596" s="3">
        <v>0.375</v>
      </c>
      <c r="J596" s="4"/>
      <c r="K596" s="4"/>
      <c r="L596" s="4"/>
      <c r="M596" s="4"/>
      <c r="N596" s="4"/>
      <c r="O596" s="4"/>
      <c r="P596" s="4"/>
    </row>
    <row r="597" spans="1:16" x14ac:dyDescent="0.25">
      <c r="A597" s="4" t="s">
        <v>264</v>
      </c>
      <c r="B597" s="3">
        <v>0.49444444444444446</v>
      </c>
      <c r="C597" s="3">
        <v>0.55763888888888891</v>
      </c>
      <c r="D597" s="3">
        <v>0.60138888888888886</v>
      </c>
      <c r="E597" s="3">
        <v>0.92222222222222217</v>
      </c>
      <c r="F597" s="4"/>
      <c r="G597" s="4"/>
      <c r="H597" s="3">
        <v>0.375</v>
      </c>
      <c r="I597" s="3">
        <v>0.375</v>
      </c>
      <c r="J597" s="4"/>
      <c r="K597" s="4"/>
      <c r="L597" s="4"/>
      <c r="M597" s="4"/>
      <c r="N597" s="3">
        <v>5.5555555555555558E-3</v>
      </c>
      <c r="O597" s="4"/>
      <c r="P597" s="3">
        <v>9.0277777777777787E-3</v>
      </c>
    </row>
    <row r="599" spans="1:16" x14ac:dyDescent="0.25">
      <c r="A599" s="7" t="s">
        <v>45</v>
      </c>
    </row>
    <row r="602" spans="1:16" x14ac:dyDescent="0.25">
      <c r="A602" s="7" t="s">
        <v>46</v>
      </c>
    </row>
    <row r="603" spans="1:16" x14ac:dyDescent="0.25">
      <c r="A603" s="7" t="s">
        <v>70</v>
      </c>
      <c r="F603" s="7" t="s">
        <v>47</v>
      </c>
    </row>
    <row r="604" spans="1:16" x14ac:dyDescent="0.25">
      <c r="F604" s="7"/>
    </row>
    <row r="608" spans="1:16" x14ac:dyDescent="0.25">
      <c r="G608" s="1" t="s">
        <v>18</v>
      </c>
    </row>
    <row r="609" spans="1:16" x14ac:dyDescent="0.25">
      <c r="A609" s="1" t="s">
        <v>1</v>
      </c>
      <c r="B609" t="s">
        <v>2</v>
      </c>
      <c r="H609" s="1" t="s">
        <v>19</v>
      </c>
      <c r="I609" s="1" t="s">
        <v>20</v>
      </c>
      <c r="J609" s="1" t="s">
        <v>21</v>
      </c>
      <c r="K609" s="1" t="s">
        <v>22</v>
      </c>
      <c r="L609" s="1" t="s">
        <v>23</v>
      </c>
      <c r="M609" s="1" t="s">
        <v>24</v>
      </c>
    </row>
    <row r="610" spans="1:16" x14ac:dyDescent="0.25">
      <c r="A610" s="1" t="s">
        <v>3</v>
      </c>
      <c r="B610" t="s">
        <v>4</v>
      </c>
      <c r="G610" s="1" t="s">
        <v>220</v>
      </c>
      <c r="H610" s="3">
        <v>0.41666666666666669</v>
      </c>
      <c r="I610" s="3">
        <v>0.54166666666666663</v>
      </c>
      <c r="J610" s="3">
        <v>0.58333333333333337</v>
      </c>
      <c r="K610" s="3">
        <v>0.79166666666666663</v>
      </c>
      <c r="L610" s="4"/>
      <c r="M610" s="4"/>
    </row>
    <row r="611" spans="1:16" x14ac:dyDescent="0.25">
      <c r="A611" s="1" t="s">
        <v>5</v>
      </c>
      <c r="B611" t="s">
        <v>6</v>
      </c>
      <c r="G611" s="1" t="s">
        <v>221</v>
      </c>
      <c r="H611" s="3">
        <v>0.41666666666666669</v>
      </c>
      <c r="I611" s="3">
        <v>0.54166666666666663</v>
      </c>
      <c r="J611" s="3">
        <v>0.58333333333333337</v>
      </c>
      <c r="K611" s="3">
        <v>0.83333333333333337</v>
      </c>
      <c r="L611" s="4"/>
      <c r="M611" s="4"/>
    </row>
    <row r="612" spans="1:16" x14ac:dyDescent="0.25">
      <c r="G612" s="1" t="s">
        <v>222</v>
      </c>
      <c r="H612" s="3">
        <v>0.41666666666666669</v>
      </c>
      <c r="I612" s="3">
        <v>0.54166666666666663</v>
      </c>
      <c r="J612" s="3">
        <v>0.58333333333333337</v>
      </c>
      <c r="K612" s="3">
        <v>0.83333333333333337</v>
      </c>
      <c r="L612" s="4"/>
      <c r="M612" s="4"/>
    </row>
    <row r="613" spans="1:16" x14ac:dyDescent="0.25">
      <c r="A613" s="1" t="s">
        <v>7</v>
      </c>
      <c r="B613" t="s">
        <v>72</v>
      </c>
      <c r="G613" s="1" t="s">
        <v>223</v>
      </c>
      <c r="H613" s="3">
        <v>0.41666666666666669</v>
      </c>
      <c r="I613" s="3">
        <v>0.54166666666666663</v>
      </c>
      <c r="J613" s="3">
        <v>0.58333333333333337</v>
      </c>
      <c r="K613" s="3">
        <v>0.83333333333333337</v>
      </c>
      <c r="L613" s="4"/>
      <c r="M613" s="4"/>
    </row>
    <row r="614" spans="1:16" x14ac:dyDescent="0.25">
      <c r="A614" s="1" t="s">
        <v>9</v>
      </c>
      <c r="B614" t="s">
        <v>73</v>
      </c>
      <c r="D614" s="1" t="s">
        <v>11</v>
      </c>
      <c r="E614" t="s">
        <v>73</v>
      </c>
      <c r="G614" s="1" t="s">
        <v>224</v>
      </c>
      <c r="H614" s="3">
        <v>0.41666666666666669</v>
      </c>
      <c r="I614" s="3">
        <v>0.54166666666666663</v>
      </c>
      <c r="J614" s="3">
        <v>0.58333333333333337</v>
      </c>
      <c r="K614" s="3">
        <v>0.83333333333333337</v>
      </c>
      <c r="L614" s="4"/>
      <c r="M614" s="4"/>
    </row>
    <row r="615" spans="1:16" x14ac:dyDescent="0.25">
      <c r="A615" s="1" t="s">
        <v>12</v>
      </c>
      <c r="D615" s="1" t="s">
        <v>13</v>
      </c>
      <c r="E615" s="2">
        <v>42278</v>
      </c>
      <c r="G615" s="1" t="s">
        <v>225</v>
      </c>
      <c r="H615" s="4" t="s">
        <v>25</v>
      </c>
      <c r="I615" s="4" t="s">
        <v>25</v>
      </c>
      <c r="J615" s="4" t="s">
        <v>25</v>
      </c>
      <c r="K615" s="4" t="s">
        <v>25</v>
      </c>
      <c r="L615" s="4" t="s">
        <v>25</v>
      </c>
      <c r="M615" s="4" t="s">
        <v>25</v>
      </c>
    </row>
    <row r="616" spans="1:16" x14ac:dyDescent="0.25">
      <c r="A616" s="1" t="s">
        <v>14</v>
      </c>
      <c r="B616" t="s">
        <v>58</v>
      </c>
      <c r="G616" s="1" t="s">
        <v>226</v>
      </c>
      <c r="H616" s="4" t="s">
        <v>25</v>
      </c>
      <c r="I616" s="4" t="s">
        <v>25</v>
      </c>
      <c r="J616" s="4" t="s">
        <v>25</v>
      </c>
      <c r="K616" s="4" t="s">
        <v>25</v>
      </c>
      <c r="L616" s="4" t="s">
        <v>25</v>
      </c>
      <c r="M616" s="4" t="s">
        <v>25</v>
      </c>
    </row>
    <row r="617" spans="1:16" x14ac:dyDescent="0.25">
      <c r="A617" s="1" t="s">
        <v>16</v>
      </c>
      <c r="B617" t="s">
        <v>17</v>
      </c>
    </row>
    <row r="620" spans="1:16" x14ac:dyDescent="0.25">
      <c r="A620" s="5" t="s">
        <v>26</v>
      </c>
      <c r="B620" s="5" t="s">
        <v>27</v>
      </c>
      <c r="C620" s="5" t="s">
        <v>28</v>
      </c>
      <c r="D620" s="5" t="s">
        <v>29</v>
      </c>
      <c r="E620" s="5" t="s">
        <v>30</v>
      </c>
      <c r="F620" s="5" t="s">
        <v>31</v>
      </c>
      <c r="G620" s="5" t="s">
        <v>32</v>
      </c>
      <c r="H620" s="5" t="s">
        <v>33</v>
      </c>
      <c r="I620" s="5" t="s">
        <v>34</v>
      </c>
      <c r="J620" s="5" t="s">
        <v>35</v>
      </c>
      <c r="K620" s="5" t="s">
        <v>36</v>
      </c>
      <c r="L620" s="5" t="s">
        <v>37</v>
      </c>
      <c r="M620" s="5" t="s">
        <v>38</v>
      </c>
      <c r="N620" s="5" t="s">
        <v>39</v>
      </c>
      <c r="O620" s="5" t="s">
        <v>40</v>
      </c>
      <c r="P620" s="5" t="s">
        <v>41</v>
      </c>
    </row>
    <row r="621" spans="1:16" x14ac:dyDescent="0.25">
      <c r="A621" s="4"/>
      <c r="B621" s="4"/>
      <c r="C621" s="4"/>
      <c r="D621" s="4"/>
      <c r="E621" s="4"/>
      <c r="F621" s="4"/>
      <c r="G621" s="4"/>
      <c r="H621" s="6">
        <v>8.0416666666666661</v>
      </c>
      <c r="I621" s="6">
        <v>8.0416666666666661</v>
      </c>
      <c r="J621" s="6">
        <v>1.7249999999999999</v>
      </c>
      <c r="K621" s="3">
        <v>0</v>
      </c>
      <c r="L621" s="3">
        <v>0</v>
      </c>
      <c r="M621" s="3">
        <v>0</v>
      </c>
      <c r="N621" s="3">
        <v>0</v>
      </c>
      <c r="O621" s="3">
        <v>0</v>
      </c>
      <c r="P621" s="3">
        <v>6.25E-2</v>
      </c>
    </row>
    <row r="622" spans="1:16" x14ac:dyDescent="0.25">
      <c r="A622" s="4" t="s">
        <v>227</v>
      </c>
      <c r="B622" s="4" t="s">
        <v>51</v>
      </c>
      <c r="C622" s="4" t="s">
        <v>51</v>
      </c>
      <c r="D622" s="4" t="s">
        <v>51</v>
      </c>
      <c r="E622" s="4" t="s">
        <v>51</v>
      </c>
      <c r="F622" s="4"/>
      <c r="G622" s="4"/>
      <c r="H622" s="3">
        <v>0.33333333333333331</v>
      </c>
      <c r="I622" s="3">
        <v>0.33333333333333331</v>
      </c>
      <c r="J622" s="3">
        <v>0.33333333333333331</v>
      </c>
      <c r="K622" s="4"/>
      <c r="L622" s="4"/>
      <c r="M622" s="4"/>
      <c r="N622" s="4"/>
      <c r="O622" s="4"/>
      <c r="P622" s="4"/>
    </row>
    <row r="623" spans="1:16" x14ac:dyDescent="0.25">
      <c r="A623" s="4" t="s">
        <v>228</v>
      </c>
      <c r="B623" s="3">
        <v>0.40763888888888888</v>
      </c>
      <c r="C623" s="3">
        <v>0.52083333333333337</v>
      </c>
      <c r="D623" s="3">
        <v>0.56041666666666667</v>
      </c>
      <c r="E623" s="3">
        <v>0.85</v>
      </c>
      <c r="F623" s="4"/>
      <c r="G623" s="4"/>
      <c r="H623" s="3">
        <v>0.375</v>
      </c>
      <c r="I623" s="3">
        <v>0.375</v>
      </c>
      <c r="J623" s="4"/>
      <c r="K623" s="4"/>
      <c r="L623" s="4"/>
      <c r="M623" s="4"/>
      <c r="N623" s="4"/>
      <c r="O623" s="4"/>
      <c r="P623" s="3">
        <v>2.7777777777777776E-2</v>
      </c>
    </row>
    <row r="624" spans="1:16" x14ac:dyDescent="0.25">
      <c r="A624" s="4" t="s">
        <v>229</v>
      </c>
      <c r="B624" s="3">
        <v>0.40972222222222227</v>
      </c>
      <c r="C624" s="3">
        <v>0.52083333333333337</v>
      </c>
      <c r="D624" s="3">
        <v>0.56319444444444444</v>
      </c>
      <c r="E624" s="3">
        <v>0.83750000000000002</v>
      </c>
      <c r="F624" s="4"/>
      <c r="G624" s="4"/>
      <c r="H624" s="3">
        <v>0.375</v>
      </c>
      <c r="I624" s="3">
        <v>0.375</v>
      </c>
      <c r="J624" s="4"/>
      <c r="K624" s="4"/>
      <c r="L624" s="4"/>
      <c r="M624" s="4"/>
      <c r="N624" s="4"/>
      <c r="O624" s="4"/>
      <c r="P624" s="3">
        <v>1.0416666666666666E-2</v>
      </c>
    </row>
    <row r="625" spans="1:16" x14ac:dyDescent="0.25">
      <c r="A625" s="4" t="s">
        <v>230</v>
      </c>
      <c r="B625" s="3">
        <v>0.41180555555555554</v>
      </c>
      <c r="C625" s="3">
        <v>0.53263888888888888</v>
      </c>
      <c r="D625" s="3">
        <v>0.57291666666666663</v>
      </c>
      <c r="E625" s="3">
        <v>0.8340277777777777</v>
      </c>
      <c r="F625" s="4"/>
      <c r="G625" s="4"/>
      <c r="H625" s="3">
        <v>0.375</v>
      </c>
      <c r="I625" s="3">
        <v>0.375</v>
      </c>
      <c r="J625" s="4"/>
      <c r="K625" s="4"/>
      <c r="L625" s="4"/>
      <c r="M625" s="4"/>
      <c r="N625" s="4"/>
      <c r="O625" s="4"/>
      <c r="P625" s="4"/>
    </row>
    <row r="626" spans="1:16" x14ac:dyDescent="0.25">
      <c r="A626" s="4" t="s">
        <v>231</v>
      </c>
      <c r="B626" s="3">
        <v>0.41250000000000003</v>
      </c>
      <c r="C626" s="3">
        <v>0.5395833333333333</v>
      </c>
      <c r="D626" s="3">
        <v>0.5854166666666667</v>
      </c>
      <c r="E626" s="3">
        <v>0.83750000000000002</v>
      </c>
      <c r="F626" s="4"/>
      <c r="G626" s="4"/>
      <c r="H626" s="3">
        <v>0.375</v>
      </c>
      <c r="I626" s="3">
        <v>0.375</v>
      </c>
      <c r="J626" s="4"/>
      <c r="K626" s="4"/>
      <c r="L626" s="4"/>
      <c r="M626" s="4"/>
      <c r="N626" s="4"/>
      <c r="O626" s="4"/>
      <c r="P626" s="3">
        <v>8.3333333333333332E-3</v>
      </c>
    </row>
    <row r="627" spans="1:16" x14ac:dyDescent="0.25">
      <c r="A627" s="4" t="s">
        <v>232</v>
      </c>
      <c r="B627" s="4" t="s">
        <v>25</v>
      </c>
      <c r="C627" s="4" t="s">
        <v>25</v>
      </c>
      <c r="D627" s="4" t="s">
        <v>25</v>
      </c>
      <c r="E627" s="4" t="s">
        <v>25</v>
      </c>
      <c r="F627" s="4" t="s">
        <v>25</v>
      </c>
      <c r="G627" s="4" t="s">
        <v>25</v>
      </c>
      <c r="H627" s="4"/>
      <c r="I627" s="4"/>
      <c r="J627" s="4"/>
      <c r="K627" s="4"/>
      <c r="L627" s="4"/>
      <c r="M627" s="4"/>
      <c r="N627" s="4"/>
      <c r="O627" s="4"/>
      <c r="P627" s="4"/>
    </row>
    <row r="628" spans="1:16" x14ac:dyDescent="0.25">
      <c r="A628" s="4" t="s">
        <v>233</v>
      </c>
      <c r="B628" s="4" t="s">
        <v>25</v>
      </c>
      <c r="C628" s="4" t="s">
        <v>25</v>
      </c>
      <c r="D628" s="4" t="s">
        <v>25</v>
      </c>
      <c r="E628" s="4" t="s">
        <v>25</v>
      </c>
      <c r="F628" s="4" t="s">
        <v>25</v>
      </c>
      <c r="G628" s="4" t="s">
        <v>25</v>
      </c>
      <c r="H628" s="4"/>
      <c r="I628" s="4"/>
      <c r="J628" s="4"/>
      <c r="K628" s="4"/>
      <c r="L628" s="4"/>
      <c r="M628" s="4"/>
      <c r="N628" s="4"/>
      <c r="O628" s="4"/>
      <c r="P628" s="4"/>
    </row>
    <row r="629" spans="1:16" x14ac:dyDescent="0.25">
      <c r="A629" s="4" t="s">
        <v>234</v>
      </c>
      <c r="B629" s="3">
        <v>0.40972222222222227</v>
      </c>
      <c r="C629" s="3">
        <v>0.52361111111111114</v>
      </c>
      <c r="D629" s="3">
        <v>0.57152777777777775</v>
      </c>
      <c r="E629" s="3">
        <v>0.79791666666666661</v>
      </c>
      <c r="F629" s="4"/>
      <c r="G629" s="4"/>
      <c r="H629" s="3">
        <v>0.33333333333333331</v>
      </c>
      <c r="I629" s="3">
        <v>0.33333333333333331</v>
      </c>
      <c r="J629" s="4"/>
      <c r="K629" s="4"/>
      <c r="L629" s="4"/>
      <c r="M629" s="4"/>
      <c r="N629" s="4"/>
      <c r="O629" s="4"/>
      <c r="P629" s="3">
        <v>6.9444444444444441E-3</v>
      </c>
    </row>
    <row r="630" spans="1:16" x14ac:dyDescent="0.25">
      <c r="A630" s="4" t="s">
        <v>235</v>
      </c>
      <c r="B630" s="3">
        <v>0.41250000000000003</v>
      </c>
      <c r="C630" s="3">
        <v>0.53680555555555554</v>
      </c>
      <c r="D630" s="3">
        <v>0.57361111111111118</v>
      </c>
      <c r="E630" s="3">
        <v>0.8354166666666667</v>
      </c>
      <c r="F630" s="4"/>
      <c r="G630" s="4"/>
      <c r="H630" s="3">
        <v>0.375</v>
      </c>
      <c r="I630" s="3">
        <v>0.375</v>
      </c>
      <c r="J630" s="4"/>
      <c r="K630" s="4"/>
      <c r="L630" s="4"/>
      <c r="M630" s="4"/>
      <c r="N630" s="4"/>
      <c r="O630" s="4"/>
      <c r="P630" s="3">
        <v>9.0277777777777787E-3</v>
      </c>
    </row>
    <row r="631" spans="1:16" x14ac:dyDescent="0.25">
      <c r="A631" s="4" t="s">
        <v>236</v>
      </c>
      <c r="B631" s="3">
        <v>0.41319444444444442</v>
      </c>
      <c r="C631" s="3">
        <v>0.51527777777777783</v>
      </c>
      <c r="D631" s="3">
        <v>0.5541666666666667</v>
      </c>
      <c r="E631" s="3">
        <v>0.83333333333333337</v>
      </c>
      <c r="F631" s="4"/>
      <c r="G631" s="4"/>
      <c r="H631" s="3">
        <v>0.375</v>
      </c>
      <c r="I631" s="3">
        <v>0.375</v>
      </c>
      <c r="J631" s="4"/>
      <c r="K631" s="4"/>
      <c r="L631" s="4"/>
      <c r="M631" s="4"/>
      <c r="N631" s="4"/>
      <c r="O631" s="4"/>
      <c r="P631" s="4"/>
    </row>
    <row r="632" spans="1:16" x14ac:dyDescent="0.25">
      <c r="A632" s="4" t="s">
        <v>237</v>
      </c>
      <c r="B632" s="3">
        <v>0.4284722222222222</v>
      </c>
      <c r="C632" s="3">
        <v>0.53402777777777777</v>
      </c>
      <c r="D632" s="3">
        <v>0.5708333333333333</v>
      </c>
      <c r="E632" s="3">
        <v>0.84097222222222223</v>
      </c>
      <c r="F632" s="4"/>
      <c r="G632" s="4"/>
      <c r="H632" s="3">
        <v>0.375</v>
      </c>
      <c r="I632" s="3">
        <v>0.375</v>
      </c>
      <c r="J632" s="4"/>
      <c r="K632" s="4"/>
      <c r="L632" s="4"/>
      <c r="M632" s="4"/>
      <c r="N632" s="4"/>
      <c r="O632" s="4"/>
      <c r="P632" s="4"/>
    </row>
    <row r="633" spans="1:16" x14ac:dyDescent="0.25">
      <c r="A633" s="4" t="s">
        <v>238</v>
      </c>
      <c r="B633" s="3">
        <v>0.41111111111111115</v>
      </c>
      <c r="C633" s="3">
        <v>0.53472222222222221</v>
      </c>
      <c r="D633" s="3">
        <v>0.58263888888888882</v>
      </c>
      <c r="E633" s="3">
        <v>0.83333333333333337</v>
      </c>
      <c r="F633" s="4"/>
      <c r="G633" s="4"/>
      <c r="H633" s="3">
        <v>0.375</v>
      </c>
      <c r="I633" s="3">
        <v>0.375</v>
      </c>
      <c r="J633" s="4"/>
      <c r="K633" s="4"/>
      <c r="L633" s="4"/>
      <c r="M633" s="4"/>
      <c r="N633" s="4"/>
      <c r="O633" s="4"/>
      <c r="P633" s="4"/>
    </row>
    <row r="634" spans="1:16" x14ac:dyDescent="0.25">
      <c r="A634" s="4" t="s">
        <v>239</v>
      </c>
      <c r="B634" s="4" t="s">
        <v>25</v>
      </c>
      <c r="C634" s="4" t="s">
        <v>25</v>
      </c>
      <c r="D634" s="4" t="s">
        <v>25</v>
      </c>
      <c r="E634" s="4" t="s">
        <v>25</v>
      </c>
      <c r="F634" s="4" t="s">
        <v>25</v>
      </c>
      <c r="G634" s="4" t="s">
        <v>25</v>
      </c>
      <c r="H634" s="4"/>
      <c r="I634" s="4"/>
      <c r="J634" s="4"/>
      <c r="K634" s="4"/>
      <c r="L634" s="4"/>
      <c r="M634" s="4"/>
      <c r="N634" s="4"/>
      <c r="O634" s="4"/>
      <c r="P634" s="4"/>
    </row>
    <row r="635" spans="1:16" x14ac:dyDescent="0.25">
      <c r="A635" s="4" t="s">
        <v>240</v>
      </c>
      <c r="B635" s="4" t="s">
        <v>25</v>
      </c>
      <c r="C635" s="4" t="s">
        <v>25</v>
      </c>
      <c r="D635" s="4" t="s">
        <v>25</v>
      </c>
      <c r="E635" s="4" t="s">
        <v>25</v>
      </c>
      <c r="F635" s="4" t="s">
        <v>25</v>
      </c>
      <c r="G635" s="4" t="s">
        <v>25</v>
      </c>
      <c r="H635" s="4"/>
      <c r="I635" s="4"/>
      <c r="J635" s="4"/>
      <c r="K635" s="4"/>
      <c r="L635" s="4"/>
      <c r="M635" s="4"/>
      <c r="N635" s="4"/>
      <c r="O635" s="4"/>
      <c r="P635" s="4"/>
    </row>
    <row r="636" spans="1:16" x14ac:dyDescent="0.25">
      <c r="A636" s="4" t="s">
        <v>241</v>
      </c>
      <c r="B636" s="3">
        <v>0.41736111111111113</v>
      </c>
      <c r="C636" s="3">
        <v>0.54375000000000007</v>
      </c>
      <c r="D636" s="3">
        <v>0.58333333333333337</v>
      </c>
      <c r="E636" s="3">
        <v>0.79305555555555562</v>
      </c>
      <c r="F636" s="4"/>
      <c r="G636" s="4"/>
      <c r="H636" s="3">
        <v>0.33333333333333331</v>
      </c>
      <c r="I636" s="3">
        <v>0.33333333333333331</v>
      </c>
      <c r="J636" s="4"/>
      <c r="K636" s="4"/>
      <c r="L636" s="4"/>
      <c r="M636" s="4"/>
      <c r="N636" s="4"/>
      <c r="O636" s="4"/>
      <c r="P636" s="4"/>
    </row>
    <row r="637" spans="1:16" x14ac:dyDescent="0.25">
      <c r="A637" s="4" t="s">
        <v>242</v>
      </c>
      <c r="B637" s="3">
        <v>0.41250000000000003</v>
      </c>
      <c r="C637" s="3">
        <v>0.51180555555555551</v>
      </c>
      <c r="D637" s="3">
        <v>0.55347222222222225</v>
      </c>
      <c r="E637" s="4" t="s">
        <v>270</v>
      </c>
      <c r="F637" s="4"/>
      <c r="G637" s="4"/>
      <c r="H637" s="3">
        <v>0.375</v>
      </c>
      <c r="I637" s="3">
        <v>0.375</v>
      </c>
      <c r="J637" s="4"/>
      <c r="K637" s="4"/>
      <c r="L637" s="4"/>
      <c r="M637" s="4"/>
      <c r="N637" s="4"/>
      <c r="O637" s="4"/>
      <c r="P637" s="4"/>
    </row>
    <row r="638" spans="1:16" x14ac:dyDescent="0.25">
      <c r="A638" s="4" t="s">
        <v>243</v>
      </c>
      <c r="B638" s="3">
        <v>0.41805555555555557</v>
      </c>
      <c r="C638" s="3">
        <v>0.55833333333333335</v>
      </c>
      <c r="D638" s="4" t="s">
        <v>271</v>
      </c>
      <c r="E638" s="3">
        <v>0.83333333333333337</v>
      </c>
      <c r="F638" s="4"/>
      <c r="G638" s="4"/>
      <c r="H638" s="3">
        <v>0.375</v>
      </c>
      <c r="I638" s="3">
        <v>0.375</v>
      </c>
      <c r="J638" s="4"/>
      <c r="K638" s="4"/>
      <c r="L638" s="4"/>
      <c r="M638" s="4"/>
      <c r="N638" s="4"/>
      <c r="O638" s="4"/>
      <c r="P638" s="4"/>
    </row>
    <row r="639" spans="1:16" x14ac:dyDescent="0.25">
      <c r="A639" s="4" t="s">
        <v>244</v>
      </c>
      <c r="B639" s="4" t="s">
        <v>265</v>
      </c>
      <c r="C639" s="4" t="s">
        <v>265</v>
      </c>
      <c r="D639" s="4" t="s">
        <v>265</v>
      </c>
      <c r="E639" s="4" t="s">
        <v>265</v>
      </c>
      <c r="F639" s="4" t="s">
        <v>265</v>
      </c>
      <c r="G639" s="4" t="s">
        <v>265</v>
      </c>
      <c r="H639" s="4"/>
      <c r="I639" s="4"/>
      <c r="J639" s="4"/>
      <c r="K639" s="4"/>
      <c r="L639" s="4"/>
      <c r="M639" s="4"/>
      <c r="N639" s="4"/>
      <c r="O639" s="4"/>
      <c r="P639" s="4"/>
    </row>
    <row r="640" spans="1:16" x14ac:dyDescent="0.25">
      <c r="A640" s="4" t="s">
        <v>245</v>
      </c>
      <c r="B640" s="4" t="s">
        <v>52</v>
      </c>
      <c r="C640" s="4" t="s">
        <v>52</v>
      </c>
      <c r="D640" s="4" t="s">
        <v>52</v>
      </c>
      <c r="E640" s="4" t="s">
        <v>52</v>
      </c>
      <c r="F640" s="4"/>
      <c r="G640" s="4"/>
      <c r="H640" s="3">
        <v>0.375</v>
      </c>
      <c r="I640" s="3">
        <v>0.375</v>
      </c>
      <c r="J640" s="3">
        <v>0.375</v>
      </c>
      <c r="K640" s="4"/>
      <c r="L640" s="4"/>
      <c r="M640" s="4"/>
      <c r="N640" s="4"/>
      <c r="O640" s="4"/>
      <c r="P640" s="4"/>
    </row>
    <row r="641" spans="1:16" x14ac:dyDescent="0.25">
      <c r="A641" s="4" t="s">
        <v>246</v>
      </c>
      <c r="B641" s="4" t="s">
        <v>25</v>
      </c>
      <c r="C641" s="4" t="s">
        <v>25</v>
      </c>
      <c r="D641" s="4" t="s">
        <v>25</v>
      </c>
      <c r="E641" s="4" t="s">
        <v>25</v>
      </c>
      <c r="F641" s="4" t="s">
        <v>25</v>
      </c>
      <c r="G641" s="4" t="s">
        <v>25</v>
      </c>
      <c r="H641" s="4"/>
      <c r="I641" s="4"/>
      <c r="J641" s="4"/>
      <c r="K641" s="4"/>
      <c r="L641" s="4"/>
      <c r="M641" s="4"/>
      <c r="N641" s="4"/>
      <c r="O641" s="4"/>
      <c r="P641" s="4"/>
    </row>
    <row r="642" spans="1:16" x14ac:dyDescent="0.25">
      <c r="A642" s="4" t="s">
        <v>247</v>
      </c>
      <c r="B642" s="4" t="s">
        <v>25</v>
      </c>
      <c r="C642" s="4" t="s">
        <v>25</v>
      </c>
      <c r="D642" s="4" t="s">
        <v>25</v>
      </c>
      <c r="E642" s="4" t="s">
        <v>25</v>
      </c>
      <c r="F642" s="4" t="s">
        <v>25</v>
      </c>
      <c r="G642" s="4" t="s">
        <v>25</v>
      </c>
      <c r="H642" s="4"/>
      <c r="I642" s="4"/>
      <c r="J642" s="4"/>
      <c r="K642" s="4"/>
      <c r="L642" s="4"/>
      <c r="M642" s="4"/>
      <c r="N642" s="4"/>
      <c r="O642" s="4"/>
      <c r="P642" s="4"/>
    </row>
    <row r="643" spans="1:16" x14ac:dyDescent="0.25">
      <c r="A643" s="4" t="s">
        <v>248</v>
      </c>
      <c r="B643" s="3">
        <v>0.41319444444444442</v>
      </c>
      <c r="C643" s="3">
        <v>0.5229166666666667</v>
      </c>
      <c r="D643" s="3">
        <v>0.56736111111111109</v>
      </c>
      <c r="E643" s="3">
        <v>0.79999999999999993</v>
      </c>
      <c r="F643" s="4"/>
      <c r="G643" s="4"/>
      <c r="H643" s="3">
        <v>0.33333333333333331</v>
      </c>
      <c r="I643" s="3">
        <v>0.33333333333333331</v>
      </c>
      <c r="J643" s="4"/>
      <c r="K643" s="4"/>
      <c r="L643" s="4"/>
      <c r="M643" s="4"/>
      <c r="N643" s="4"/>
      <c r="O643" s="4"/>
      <c r="P643" s="4"/>
    </row>
    <row r="644" spans="1:16" x14ac:dyDescent="0.25">
      <c r="A644" s="4" t="s">
        <v>249</v>
      </c>
      <c r="B644" s="3">
        <v>0.4152777777777778</v>
      </c>
      <c r="C644" s="3">
        <v>0.52500000000000002</v>
      </c>
      <c r="D644" s="3">
        <v>0.56527777777777777</v>
      </c>
      <c r="E644" s="4" t="s">
        <v>52</v>
      </c>
      <c r="F644" s="4"/>
      <c r="G644" s="4"/>
      <c r="H644" s="3">
        <v>0.375</v>
      </c>
      <c r="I644" s="3">
        <v>0.375</v>
      </c>
      <c r="J644" s="3">
        <v>0.26666666666666666</v>
      </c>
      <c r="K644" s="4"/>
      <c r="L644" s="4"/>
      <c r="M644" s="4"/>
      <c r="N644" s="4"/>
      <c r="O644" s="4"/>
      <c r="P644" s="4"/>
    </row>
    <row r="645" spans="1:16" x14ac:dyDescent="0.25">
      <c r="A645" s="4" t="s">
        <v>251</v>
      </c>
      <c r="B645" s="4" t="s">
        <v>52</v>
      </c>
      <c r="C645" s="4" t="s">
        <v>52</v>
      </c>
      <c r="D645" s="4" t="s">
        <v>52</v>
      </c>
      <c r="E645" s="4" t="s">
        <v>52</v>
      </c>
      <c r="F645" s="4"/>
      <c r="G645" s="4"/>
      <c r="H645" s="3">
        <v>0.375</v>
      </c>
      <c r="I645" s="3">
        <v>0.375</v>
      </c>
      <c r="J645" s="3">
        <v>0.375</v>
      </c>
      <c r="K645" s="4"/>
      <c r="L645" s="4"/>
      <c r="M645" s="4"/>
      <c r="N645" s="4"/>
      <c r="O645" s="4"/>
      <c r="P645" s="4"/>
    </row>
    <row r="646" spans="1:16" x14ac:dyDescent="0.25">
      <c r="A646" s="4" t="s">
        <v>256</v>
      </c>
      <c r="B646" s="4" t="s">
        <v>52</v>
      </c>
      <c r="C646" s="4" t="s">
        <v>52</v>
      </c>
      <c r="D646" s="4" t="s">
        <v>52</v>
      </c>
      <c r="E646" s="4" t="s">
        <v>52</v>
      </c>
      <c r="F646" s="4"/>
      <c r="G646" s="4"/>
      <c r="H646" s="3">
        <v>0.375</v>
      </c>
      <c r="I646" s="3">
        <v>0.375</v>
      </c>
      <c r="J646" s="3">
        <v>0.375</v>
      </c>
      <c r="K646" s="4"/>
      <c r="L646" s="4"/>
      <c r="M646" s="4"/>
      <c r="N646" s="4"/>
      <c r="O646" s="4"/>
      <c r="P646" s="4"/>
    </row>
    <row r="647" spans="1:16" x14ac:dyDescent="0.25">
      <c r="A647" s="4" t="s">
        <v>259</v>
      </c>
      <c r="B647" s="4" t="s">
        <v>272</v>
      </c>
      <c r="C647" s="3">
        <v>0.5541666666666667</v>
      </c>
      <c r="D647" s="3">
        <v>0.60069444444444442</v>
      </c>
      <c r="E647" s="3">
        <v>0.83333333333333337</v>
      </c>
      <c r="F647" s="4"/>
      <c r="G647" s="4"/>
      <c r="H647" s="3">
        <v>0.375</v>
      </c>
      <c r="I647" s="3">
        <v>0.375</v>
      </c>
      <c r="J647" s="4"/>
      <c r="K647" s="4"/>
      <c r="L647" s="4"/>
      <c r="M647" s="4"/>
      <c r="N647" s="4"/>
      <c r="O647" s="4"/>
      <c r="P647" s="4"/>
    </row>
    <row r="648" spans="1:16" x14ac:dyDescent="0.25">
      <c r="A648" s="4" t="s">
        <v>260</v>
      </c>
      <c r="B648" s="4" t="s">
        <v>25</v>
      </c>
      <c r="C648" s="4" t="s">
        <v>25</v>
      </c>
      <c r="D648" s="4" t="s">
        <v>25</v>
      </c>
      <c r="E648" s="4" t="s">
        <v>25</v>
      </c>
      <c r="F648" s="4" t="s">
        <v>25</v>
      </c>
      <c r="G648" s="4" t="s">
        <v>25</v>
      </c>
      <c r="H648" s="4"/>
      <c r="I648" s="4"/>
      <c r="J648" s="4"/>
      <c r="K648" s="4"/>
      <c r="L648" s="4"/>
      <c r="M648" s="4"/>
      <c r="N648" s="4"/>
      <c r="O648" s="4"/>
      <c r="P648" s="4"/>
    </row>
    <row r="649" spans="1:16" x14ac:dyDescent="0.25">
      <c r="A649" s="4" t="s">
        <v>261</v>
      </c>
      <c r="B649" s="4" t="s">
        <v>25</v>
      </c>
      <c r="C649" s="4" t="s">
        <v>25</v>
      </c>
      <c r="D649" s="4" t="s">
        <v>25</v>
      </c>
      <c r="E649" s="4" t="s">
        <v>25</v>
      </c>
      <c r="F649" s="4" t="s">
        <v>25</v>
      </c>
      <c r="G649" s="4" t="s">
        <v>25</v>
      </c>
      <c r="H649" s="4"/>
      <c r="I649" s="4"/>
      <c r="J649" s="4"/>
      <c r="K649" s="4"/>
      <c r="L649" s="4"/>
      <c r="M649" s="4"/>
      <c r="N649" s="4"/>
      <c r="O649" s="4"/>
      <c r="P649" s="4"/>
    </row>
    <row r="650" spans="1:16" x14ac:dyDescent="0.25">
      <c r="A650" s="4" t="s">
        <v>262</v>
      </c>
      <c r="B650" s="3">
        <v>0.4145833333333333</v>
      </c>
      <c r="C650" s="3">
        <v>0.53749999999999998</v>
      </c>
      <c r="D650" s="3">
        <v>0.57847222222222217</v>
      </c>
      <c r="E650" s="3">
        <v>0.79236111111111107</v>
      </c>
      <c r="F650" s="4"/>
      <c r="G650" s="4"/>
      <c r="H650" s="3">
        <v>0.33333333333333331</v>
      </c>
      <c r="I650" s="3">
        <v>0.33333333333333331</v>
      </c>
      <c r="J650" s="4"/>
      <c r="K650" s="4"/>
      <c r="L650" s="4"/>
      <c r="M650" s="4"/>
      <c r="N650" s="4"/>
      <c r="O650" s="4"/>
      <c r="P650" s="4"/>
    </row>
    <row r="651" spans="1:16" x14ac:dyDescent="0.25">
      <c r="A651" s="4" t="s">
        <v>263</v>
      </c>
      <c r="B651" s="3">
        <v>0.41250000000000003</v>
      </c>
      <c r="C651" s="3">
        <v>0.52986111111111112</v>
      </c>
      <c r="D651" s="3">
        <v>0.57013888888888886</v>
      </c>
      <c r="E651" s="3">
        <v>0.83333333333333337</v>
      </c>
      <c r="F651" s="4"/>
      <c r="G651" s="4"/>
      <c r="H651" s="3">
        <v>0.375</v>
      </c>
      <c r="I651" s="3">
        <v>0.375</v>
      </c>
      <c r="J651" s="4"/>
      <c r="K651" s="4"/>
      <c r="L651" s="4"/>
      <c r="M651" s="4"/>
      <c r="N651" s="4"/>
      <c r="O651" s="4"/>
      <c r="P651" s="4"/>
    </row>
    <row r="652" spans="1:16" x14ac:dyDescent="0.25">
      <c r="A652" s="4" t="s">
        <v>264</v>
      </c>
      <c r="B652" s="3">
        <v>0.41319444444444442</v>
      </c>
      <c r="C652" s="3">
        <v>0.54166666666666663</v>
      </c>
      <c r="D652" s="3">
        <v>0.58333333333333337</v>
      </c>
      <c r="E652" s="3">
        <v>0.83333333333333337</v>
      </c>
      <c r="F652" s="4"/>
      <c r="G652" s="4"/>
      <c r="H652" s="3">
        <v>0.375</v>
      </c>
      <c r="I652" s="3">
        <v>0.375</v>
      </c>
      <c r="J652" s="4"/>
      <c r="K652" s="4"/>
      <c r="L652" s="4"/>
      <c r="M652" s="4"/>
      <c r="N652" s="4"/>
      <c r="O652" s="4"/>
      <c r="P652" s="4"/>
    </row>
    <row r="654" spans="1:16" x14ac:dyDescent="0.25">
      <c r="A654" s="7" t="s">
        <v>45</v>
      </c>
    </row>
    <row r="657" spans="1:13" x14ac:dyDescent="0.25">
      <c r="A657" s="7" t="s">
        <v>46</v>
      </c>
    </row>
    <row r="658" spans="1:13" x14ac:dyDescent="0.25">
      <c r="A658" s="7" t="s">
        <v>72</v>
      </c>
      <c r="F658" s="7" t="s">
        <v>47</v>
      </c>
    </row>
    <row r="659" spans="1:13" x14ac:dyDescent="0.25">
      <c r="F659" s="7"/>
    </row>
    <row r="663" spans="1:13" x14ac:dyDescent="0.25">
      <c r="G663" s="1" t="s">
        <v>18</v>
      </c>
    </row>
    <row r="664" spans="1:13" x14ac:dyDescent="0.25">
      <c r="A664" s="1" t="s">
        <v>1</v>
      </c>
      <c r="B664" t="s">
        <v>2</v>
      </c>
      <c r="H664" s="1" t="s">
        <v>19</v>
      </c>
      <c r="I664" s="1" t="s">
        <v>20</v>
      </c>
      <c r="J664" s="1" t="s">
        <v>21</v>
      </c>
      <c r="K664" s="1" t="s">
        <v>22</v>
      </c>
      <c r="L664" s="1" t="s">
        <v>23</v>
      </c>
      <c r="M664" s="1" t="s">
        <v>24</v>
      </c>
    </row>
    <row r="665" spans="1:13" x14ac:dyDescent="0.25">
      <c r="A665" s="1" t="s">
        <v>3</v>
      </c>
      <c r="B665" t="s">
        <v>4</v>
      </c>
      <c r="G665" s="1" t="s">
        <v>220</v>
      </c>
      <c r="H665" s="3">
        <v>0.54166666666666663</v>
      </c>
      <c r="I665" s="3">
        <v>0.79166666666666663</v>
      </c>
      <c r="J665" s="3">
        <v>0.83333333333333337</v>
      </c>
      <c r="K665" s="3">
        <v>0.91666666666666663</v>
      </c>
      <c r="L665" s="4"/>
      <c r="M665" s="4"/>
    </row>
    <row r="666" spans="1:13" x14ac:dyDescent="0.25">
      <c r="A666" s="1" t="s">
        <v>5</v>
      </c>
      <c r="B666" t="s">
        <v>6</v>
      </c>
      <c r="G666" s="1" t="s">
        <v>221</v>
      </c>
      <c r="H666" s="3">
        <v>0.5</v>
      </c>
      <c r="I666" s="3">
        <v>0.79166666666666663</v>
      </c>
      <c r="J666" s="3">
        <v>0.83333333333333337</v>
      </c>
      <c r="K666" s="3">
        <v>0.91666666666666663</v>
      </c>
      <c r="L666" s="4"/>
      <c r="M666" s="4"/>
    </row>
    <row r="667" spans="1:13" x14ac:dyDescent="0.25">
      <c r="G667" s="1" t="s">
        <v>222</v>
      </c>
      <c r="H667" s="3">
        <v>0.5</v>
      </c>
      <c r="I667" s="3">
        <v>0.79166666666666663</v>
      </c>
      <c r="J667" s="3">
        <v>0.83333333333333337</v>
      </c>
      <c r="K667" s="3">
        <v>0.91666666666666663</v>
      </c>
      <c r="L667" s="4"/>
      <c r="M667" s="4"/>
    </row>
    <row r="668" spans="1:13" x14ac:dyDescent="0.25">
      <c r="A668" s="1" t="s">
        <v>7</v>
      </c>
      <c r="B668" t="s">
        <v>74</v>
      </c>
      <c r="G668" s="1" t="s">
        <v>223</v>
      </c>
      <c r="H668" s="3">
        <v>0.5</v>
      </c>
      <c r="I668" s="3">
        <v>0.79166666666666663</v>
      </c>
      <c r="J668" s="3">
        <v>0.83333333333333337</v>
      </c>
      <c r="K668" s="3">
        <v>0.91666666666666663</v>
      </c>
      <c r="L668" s="4"/>
      <c r="M668" s="4"/>
    </row>
    <row r="669" spans="1:13" x14ac:dyDescent="0.25">
      <c r="A669" s="1" t="s">
        <v>9</v>
      </c>
      <c r="B669" t="s">
        <v>75</v>
      </c>
      <c r="D669" s="1" t="s">
        <v>11</v>
      </c>
      <c r="E669" t="s">
        <v>75</v>
      </c>
      <c r="G669" s="1" t="s">
        <v>224</v>
      </c>
      <c r="H669" s="3">
        <v>0.5</v>
      </c>
      <c r="I669" s="3">
        <v>0.79166666666666663</v>
      </c>
      <c r="J669" s="3">
        <v>0.83333333333333337</v>
      </c>
      <c r="K669" s="3">
        <v>0.91666666666666663</v>
      </c>
      <c r="L669" s="4"/>
      <c r="M669" s="4"/>
    </row>
    <row r="670" spans="1:13" x14ac:dyDescent="0.25">
      <c r="A670" s="1" t="s">
        <v>12</v>
      </c>
      <c r="D670" s="1" t="s">
        <v>13</v>
      </c>
      <c r="E670" s="2">
        <v>42758</v>
      </c>
      <c r="G670" s="1" t="s">
        <v>225</v>
      </c>
      <c r="H670" s="4" t="s">
        <v>25</v>
      </c>
      <c r="I670" s="4" t="s">
        <v>25</v>
      </c>
      <c r="J670" s="4" t="s">
        <v>25</v>
      </c>
      <c r="K670" s="4" t="s">
        <v>25</v>
      </c>
      <c r="L670" s="4" t="s">
        <v>25</v>
      </c>
      <c r="M670" s="4" t="s">
        <v>25</v>
      </c>
    </row>
    <row r="671" spans="1:13" x14ac:dyDescent="0.25">
      <c r="A671" s="1" t="s">
        <v>14</v>
      </c>
      <c r="B671" t="s">
        <v>58</v>
      </c>
      <c r="G671" s="1" t="s">
        <v>226</v>
      </c>
      <c r="H671" s="4" t="s">
        <v>25</v>
      </c>
      <c r="I671" s="4" t="s">
        <v>25</v>
      </c>
      <c r="J671" s="4" t="s">
        <v>25</v>
      </c>
      <c r="K671" s="4" t="s">
        <v>25</v>
      </c>
      <c r="L671" s="4" t="s">
        <v>25</v>
      </c>
      <c r="M671" s="4" t="s">
        <v>25</v>
      </c>
    </row>
    <row r="672" spans="1:13" x14ac:dyDescent="0.25">
      <c r="A672" s="1" t="s">
        <v>16</v>
      </c>
      <c r="B672" t="s">
        <v>17</v>
      </c>
    </row>
    <row r="675" spans="1:16" x14ac:dyDescent="0.25">
      <c r="A675" s="5" t="s">
        <v>26</v>
      </c>
      <c r="B675" s="5" t="s">
        <v>27</v>
      </c>
      <c r="C675" s="5" t="s">
        <v>28</v>
      </c>
      <c r="D675" s="5" t="s">
        <v>29</v>
      </c>
      <c r="E675" s="5" t="s">
        <v>30</v>
      </c>
      <c r="F675" s="5" t="s">
        <v>31</v>
      </c>
      <c r="G675" s="5" t="s">
        <v>32</v>
      </c>
      <c r="H675" s="5" t="s">
        <v>33</v>
      </c>
      <c r="I675" s="5" t="s">
        <v>34</v>
      </c>
      <c r="J675" s="5" t="s">
        <v>35</v>
      </c>
      <c r="K675" s="5" t="s">
        <v>36</v>
      </c>
      <c r="L675" s="5" t="s">
        <v>37</v>
      </c>
      <c r="M675" s="5" t="s">
        <v>38</v>
      </c>
      <c r="N675" s="5" t="s">
        <v>39</v>
      </c>
      <c r="O675" s="5" t="s">
        <v>40</v>
      </c>
      <c r="P675" s="5" t="s">
        <v>41</v>
      </c>
    </row>
    <row r="676" spans="1:16" x14ac:dyDescent="0.25">
      <c r="A676" s="4"/>
      <c r="B676" s="4"/>
      <c r="C676" s="4"/>
      <c r="D676" s="4"/>
      <c r="E676" s="4"/>
      <c r="F676" s="4"/>
      <c r="G676" s="4"/>
      <c r="H676" s="6">
        <v>8.0416666666666661</v>
      </c>
      <c r="I676" s="6">
        <v>8.0194444444444439</v>
      </c>
      <c r="J676" s="6">
        <v>1.4319444444444445</v>
      </c>
      <c r="K676" s="3">
        <v>0</v>
      </c>
      <c r="L676" s="3">
        <v>0</v>
      </c>
      <c r="M676" s="3">
        <v>0</v>
      </c>
      <c r="N676" s="3">
        <v>7.7777777777777779E-2</v>
      </c>
      <c r="O676" s="3">
        <v>2.2222222222222223E-2</v>
      </c>
      <c r="P676" s="3">
        <v>4.7916666666666663E-2</v>
      </c>
    </row>
    <row r="677" spans="1:16" x14ac:dyDescent="0.25">
      <c r="A677" s="4" t="s">
        <v>227</v>
      </c>
      <c r="B677" s="3">
        <v>0.53749999999999998</v>
      </c>
      <c r="C677" s="3">
        <v>0.57222222222222219</v>
      </c>
      <c r="D677" s="3">
        <v>0.61319444444444449</v>
      </c>
      <c r="E677" s="3">
        <v>0.91875000000000007</v>
      </c>
      <c r="F677" s="4"/>
      <c r="G677" s="4"/>
      <c r="H677" s="3">
        <v>0.33333333333333331</v>
      </c>
      <c r="I677" s="3">
        <v>0.33333333333333331</v>
      </c>
      <c r="J677" s="4"/>
      <c r="K677" s="4"/>
      <c r="L677" s="4"/>
      <c r="M677" s="4"/>
      <c r="N677" s="4"/>
      <c r="O677" s="4"/>
      <c r="P677" s="4"/>
    </row>
    <row r="678" spans="1:16" x14ac:dyDescent="0.25">
      <c r="A678" s="4" t="s">
        <v>228</v>
      </c>
      <c r="B678" s="3">
        <v>0.50555555555555554</v>
      </c>
      <c r="C678" s="3">
        <v>0.62916666666666665</v>
      </c>
      <c r="D678" s="3">
        <v>0.67083333333333339</v>
      </c>
      <c r="E678" s="3">
        <v>0.92361111111111116</v>
      </c>
      <c r="F678" s="4"/>
      <c r="G678" s="4"/>
      <c r="H678" s="3">
        <v>0.375</v>
      </c>
      <c r="I678" s="3">
        <v>0.375</v>
      </c>
      <c r="J678" s="4"/>
      <c r="K678" s="4"/>
      <c r="L678" s="4"/>
      <c r="M678" s="4"/>
      <c r="N678" s="3">
        <v>6.9444444444444441E-3</v>
      </c>
      <c r="O678" s="4"/>
      <c r="P678" s="4"/>
    </row>
    <row r="679" spans="1:16" x14ac:dyDescent="0.25">
      <c r="A679" s="4" t="s">
        <v>229</v>
      </c>
      <c r="B679" s="3">
        <v>0.50555555555555554</v>
      </c>
      <c r="C679" s="3">
        <v>0.55763888888888891</v>
      </c>
      <c r="D679" s="3">
        <v>0.59861111111111109</v>
      </c>
      <c r="E679" s="3">
        <v>0.91736111111111107</v>
      </c>
      <c r="F679" s="4"/>
      <c r="G679" s="4"/>
      <c r="H679" s="3">
        <v>0.375</v>
      </c>
      <c r="I679" s="3">
        <v>0.375</v>
      </c>
      <c r="J679" s="4"/>
      <c r="K679" s="4"/>
      <c r="L679" s="4"/>
      <c r="M679" s="4"/>
      <c r="N679" s="4"/>
      <c r="O679" s="4"/>
      <c r="P679" s="4"/>
    </row>
    <row r="680" spans="1:16" x14ac:dyDescent="0.25">
      <c r="A680" s="4" t="s">
        <v>230</v>
      </c>
      <c r="B680" s="3">
        <v>0.5</v>
      </c>
      <c r="C680" s="3">
        <v>0.56597222222222221</v>
      </c>
      <c r="D680" s="3">
        <v>0.61249999999999993</v>
      </c>
      <c r="E680" s="3">
        <v>0.92361111111111116</v>
      </c>
      <c r="F680" s="4"/>
      <c r="G680" s="4"/>
      <c r="H680" s="3">
        <v>0.375</v>
      </c>
      <c r="I680" s="3">
        <v>0.375</v>
      </c>
      <c r="J680" s="4"/>
      <c r="K680" s="4"/>
      <c r="L680" s="4"/>
      <c r="M680" s="4"/>
      <c r="N680" s="3">
        <v>6.9444444444444441E-3</v>
      </c>
      <c r="O680" s="4"/>
      <c r="P680" s="4"/>
    </row>
    <row r="681" spans="1:16" x14ac:dyDescent="0.25">
      <c r="A681" s="4" t="s">
        <v>231</v>
      </c>
      <c r="B681" s="3">
        <v>0.50694444444444442</v>
      </c>
      <c r="C681" s="3">
        <v>0.5395833333333333</v>
      </c>
      <c r="D681" s="3">
        <v>0.58402777777777781</v>
      </c>
      <c r="E681" s="3">
        <v>0.9194444444444444</v>
      </c>
      <c r="F681" s="4"/>
      <c r="G681" s="4"/>
      <c r="H681" s="3">
        <v>0.375</v>
      </c>
      <c r="I681" s="3">
        <v>0.36527777777777781</v>
      </c>
      <c r="J681" s="4"/>
      <c r="K681" s="4"/>
      <c r="L681" s="4"/>
      <c r="M681" s="4"/>
      <c r="N681" s="4"/>
      <c r="O681" s="3">
        <v>9.7222222222222224E-3</v>
      </c>
      <c r="P681" s="4"/>
    </row>
    <row r="682" spans="1:16" x14ac:dyDescent="0.25">
      <c r="A682" s="4" t="s">
        <v>232</v>
      </c>
      <c r="B682" s="4" t="s">
        <v>25</v>
      </c>
      <c r="C682" s="4" t="s">
        <v>25</v>
      </c>
      <c r="D682" s="4" t="s">
        <v>25</v>
      </c>
      <c r="E682" s="4" t="s">
        <v>25</v>
      </c>
      <c r="F682" s="4" t="s">
        <v>25</v>
      </c>
      <c r="G682" s="4" t="s">
        <v>25</v>
      </c>
      <c r="H682" s="4"/>
      <c r="I682" s="4"/>
      <c r="J682" s="4"/>
      <c r="K682" s="4"/>
      <c r="L682" s="4"/>
      <c r="M682" s="4"/>
      <c r="N682" s="4"/>
      <c r="O682" s="4"/>
      <c r="P682" s="4"/>
    </row>
    <row r="683" spans="1:16" x14ac:dyDescent="0.25">
      <c r="A683" s="4" t="s">
        <v>233</v>
      </c>
      <c r="B683" s="4" t="s">
        <v>25</v>
      </c>
      <c r="C683" s="4" t="s">
        <v>25</v>
      </c>
      <c r="D683" s="4" t="s">
        <v>25</v>
      </c>
      <c r="E683" s="4" t="s">
        <v>25</v>
      </c>
      <c r="F683" s="4" t="s">
        <v>25</v>
      </c>
      <c r="G683" s="4" t="s">
        <v>25</v>
      </c>
      <c r="H683" s="4"/>
      <c r="I683" s="4"/>
      <c r="J683" s="4"/>
      <c r="K683" s="4"/>
      <c r="L683" s="4"/>
      <c r="M683" s="4"/>
      <c r="N683" s="4"/>
      <c r="O683" s="4"/>
      <c r="P683" s="4"/>
    </row>
    <row r="684" spans="1:16" x14ac:dyDescent="0.25">
      <c r="A684" s="4" t="s">
        <v>234</v>
      </c>
      <c r="B684" s="3">
        <v>0.5444444444444444</v>
      </c>
      <c r="C684" s="3">
        <v>0.59444444444444444</v>
      </c>
      <c r="D684" s="3">
        <v>0.63472222222222219</v>
      </c>
      <c r="E684" s="3">
        <v>0.91875000000000007</v>
      </c>
      <c r="F684" s="4"/>
      <c r="G684" s="4"/>
      <c r="H684" s="3">
        <v>0.33333333333333331</v>
      </c>
      <c r="I684" s="3">
        <v>0.33333333333333331</v>
      </c>
      <c r="J684" s="4"/>
      <c r="K684" s="4"/>
      <c r="L684" s="4"/>
      <c r="M684" s="4"/>
      <c r="N684" s="4"/>
      <c r="O684" s="4"/>
      <c r="P684" s="4"/>
    </row>
    <row r="685" spans="1:16" x14ac:dyDescent="0.25">
      <c r="A685" s="4" t="s">
        <v>235</v>
      </c>
      <c r="B685" s="3">
        <v>0.5</v>
      </c>
      <c r="C685" s="3">
        <v>0.56666666666666665</v>
      </c>
      <c r="D685" s="3">
        <v>0.60833333333333328</v>
      </c>
      <c r="E685" s="3">
        <v>0.92013888888888884</v>
      </c>
      <c r="F685" s="4"/>
      <c r="G685" s="4"/>
      <c r="H685" s="3">
        <v>0.375</v>
      </c>
      <c r="I685" s="3">
        <v>0.375</v>
      </c>
      <c r="J685" s="4"/>
      <c r="K685" s="4"/>
      <c r="L685" s="4"/>
      <c r="M685" s="4"/>
      <c r="N685" s="4"/>
      <c r="O685" s="4"/>
      <c r="P685" s="4"/>
    </row>
    <row r="686" spans="1:16" x14ac:dyDescent="0.25">
      <c r="A686" s="4" t="s">
        <v>236</v>
      </c>
      <c r="B686" s="3">
        <v>0.50416666666666665</v>
      </c>
      <c r="C686" s="3">
        <v>0.56666666666666665</v>
      </c>
      <c r="D686" s="3">
        <v>0.60555555555555551</v>
      </c>
      <c r="E686" s="3">
        <v>0.92013888888888884</v>
      </c>
      <c r="F686" s="4"/>
      <c r="G686" s="4"/>
      <c r="H686" s="3">
        <v>0.375</v>
      </c>
      <c r="I686" s="3">
        <v>0.375</v>
      </c>
      <c r="J686" s="4"/>
      <c r="K686" s="4"/>
      <c r="L686" s="4"/>
      <c r="M686" s="4"/>
      <c r="N686" s="4"/>
      <c r="O686" s="4"/>
      <c r="P686" s="4"/>
    </row>
    <row r="687" spans="1:16" x14ac:dyDescent="0.25">
      <c r="A687" s="4" t="s">
        <v>237</v>
      </c>
      <c r="B687" s="3">
        <v>0.50486111111111109</v>
      </c>
      <c r="C687" s="3">
        <v>0.56805555555555554</v>
      </c>
      <c r="D687" s="3">
        <v>0.60833333333333328</v>
      </c>
      <c r="E687" s="3">
        <v>0.92152777777777783</v>
      </c>
      <c r="F687" s="4"/>
      <c r="G687" s="4"/>
      <c r="H687" s="3">
        <v>0.375</v>
      </c>
      <c r="I687" s="3">
        <v>0.375</v>
      </c>
      <c r="J687" s="4"/>
      <c r="K687" s="4"/>
      <c r="L687" s="4"/>
      <c r="M687" s="4"/>
      <c r="N687" s="3">
        <v>4.8611111111111112E-3</v>
      </c>
      <c r="O687" s="4"/>
      <c r="P687" s="4"/>
    </row>
    <row r="688" spans="1:16" x14ac:dyDescent="0.25">
      <c r="A688" s="4" t="s">
        <v>238</v>
      </c>
      <c r="B688" s="3">
        <v>0.50138888888888888</v>
      </c>
      <c r="C688" s="3">
        <v>0.56805555555555554</v>
      </c>
      <c r="D688" s="3">
        <v>0.60902777777777783</v>
      </c>
      <c r="E688" s="3">
        <v>0.91805555555555562</v>
      </c>
      <c r="F688" s="4"/>
      <c r="G688" s="4"/>
      <c r="H688" s="3">
        <v>0.375</v>
      </c>
      <c r="I688" s="3">
        <v>0.375</v>
      </c>
      <c r="J688" s="4"/>
      <c r="K688" s="4"/>
      <c r="L688" s="4"/>
      <c r="M688" s="4"/>
      <c r="N688" s="4"/>
      <c r="O688" s="4"/>
      <c r="P688" s="4"/>
    </row>
    <row r="689" spans="1:16" x14ac:dyDescent="0.25">
      <c r="A689" s="4" t="s">
        <v>239</v>
      </c>
      <c r="B689" s="4" t="s">
        <v>25</v>
      </c>
      <c r="C689" s="4" t="s">
        <v>25</v>
      </c>
      <c r="D689" s="4" t="s">
        <v>25</v>
      </c>
      <c r="E689" s="4" t="s">
        <v>25</v>
      </c>
      <c r="F689" s="4" t="s">
        <v>25</v>
      </c>
      <c r="G689" s="4" t="s">
        <v>25</v>
      </c>
      <c r="H689" s="4"/>
      <c r="I689" s="4"/>
      <c r="J689" s="4"/>
      <c r="K689" s="4"/>
      <c r="L689" s="4"/>
      <c r="M689" s="4"/>
      <c r="N689" s="4"/>
      <c r="O689" s="4"/>
      <c r="P689" s="4"/>
    </row>
    <row r="690" spans="1:16" x14ac:dyDescent="0.25">
      <c r="A690" s="4" t="s">
        <v>240</v>
      </c>
      <c r="B690" s="4" t="s">
        <v>25</v>
      </c>
      <c r="C690" s="4" t="s">
        <v>25</v>
      </c>
      <c r="D690" s="4" t="s">
        <v>25</v>
      </c>
      <c r="E690" s="4" t="s">
        <v>25</v>
      </c>
      <c r="F690" s="4" t="s">
        <v>25</v>
      </c>
      <c r="G690" s="4" t="s">
        <v>25</v>
      </c>
      <c r="H690" s="4"/>
      <c r="I690" s="4"/>
      <c r="J690" s="4"/>
      <c r="K690" s="4"/>
      <c r="L690" s="4"/>
      <c r="M690" s="4"/>
      <c r="N690" s="4"/>
      <c r="O690" s="4"/>
      <c r="P690" s="4"/>
    </row>
    <row r="691" spans="1:16" x14ac:dyDescent="0.25">
      <c r="A691" s="4" t="s">
        <v>241</v>
      </c>
      <c r="B691" s="3">
        <v>0.54652777777777783</v>
      </c>
      <c r="C691" s="3">
        <v>0.59305555555555556</v>
      </c>
      <c r="D691" s="3">
        <v>0.6333333333333333</v>
      </c>
      <c r="E691" s="3">
        <v>0.92083333333333339</v>
      </c>
      <c r="F691" s="4"/>
      <c r="G691" s="4"/>
      <c r="H691" s="3">
        <v>0.33333333333333331</v>
      </c>
      <c r="I691" s="3">
        <v>0.33333333333333331</v>
      </c>
      <c r="J691" s="4"/>
      <c r="K691" s="4"/>
      <c r="L691" s="4"/>
      <c r="M691" s="4"/>
      <c r="N691" s="3">
        <v>4.1666666666666666E-3</v>
      </c>
      <c r="O691" s="4"/>
      <c r="P691" s="4"/>
    </row>
    <row r="692" spans="1:16" x14ac:dyDescent="0.25">
      <c r="A692" s="4" t="s">
        <v>242</v>
      </c>
      <c r="B692" s="3">
        <v>0.50069444444444444</v>
      </c>
      <c r="C692" s="3">
        <v>0.57222222222222219</v>
      </c>
      <c r="D692" s="3">
        <v>0.61319444444444449</v>
      </c>
      <c r="E692" s="3">
        <v>0.92361111111111116</v>
      </c>
      <c r="F692" s="4"/>
      <c r="G692" s="4"/>
      <c r="H692" s="3">
        <v>0.375</v>
      </c>
      <c r="I692" s="3">
        <v>0.375</v>
      </c>
      <c r="J692" s="4"/>
      <c r="K692" s="4"/>
      <c r="L692" s="4"/>
      <c r="M692" s="4"/>
      <c r="N692" s="3">
        <v>6.9444444444444441E-3</v>
      </c>
      <c r="O692" s="4"/>
      <c r="P692" s="3">
        <v>7.6388888888888886E-3</v>
      </c>
    </row>
    <row r="693" spans="1:16" x14ac:dyDescent="0.25">
      <c r="A693" s="4" t="s">
        <v>243</v>
      </c>
      <c r="B693" s="3">
        <v>0.50208333333333333</v>
      </c>
      <c r="C693" s="3">
        <v>0.58472222222222225</v>
      </c>
      <c r="D693" s="3">
        <v>0.62430555555555556</v>
      </c>
      <c r="E693" s="3">
        <v>0.94027777777777777</v>
      </c>
      <c r="F693" s="4"/>
      <c r="G693" s="4"/>
      <c r="H693" s="3">
        <v>0.375</v>
      </c>
      <c r="I693" s="3">
        <v>0.375</v>
      </c>
      <c r="J693" s="4"/>
      <c r="K693" s="4"/>
      <c r="L693" s="4"/>
      <c r="M693" s="4"/>
      <c r="N693" s="3">
        <v>2.361111111111111E-2</v>
      </c>
      <c r="O693" s="4"/>
      <c r="P693" s="3">
        <v>2.5694444444444447E-2</v>
      </c>
    </row>
    <row r="694" spans="1:16" x14ac:dyDescent="0.25">
      <c r="A694" s="4" t="s">
        <v>244</v>
      </c>
      <c r="B694" s="4" t="s">
        <v>265</v>
      </c>
      <c r="C694" s="4" t="s">
        <v>265</v>
      </c>
      <c r="D694" s="4" t="s">
        <v>265</v>
      </c>
      <c r="E694" s="4" t="s">
        <v>265</v>
      </c>
      <c r="F694" s="4"/>
      <c r="G694" s="4"/>
      <c r="H694" s="4"/>
      <c r="I694" s="4"/>
      <c r="J694" s="4"/>
      <c r="K694" s="4"/>
      <c r="L694" s="4"/>
      <c r="M694" s="4"/>
      <c r="N694" s="4"/>
      <c r="O694" s="4"/>
      <c r="P694" s="4"/>
    </row>
    <row r="695" spans="1:16" x14ac:dyDescent="0.25">
      <c r="A695" s="4" t="s">
        <v>245</v>
      </c>
      <c r="B695" s="4" t="s">
        <v>265</v>
      </c>
      <c r="C695" s="4" t="s">
        <v>265</v>
      </c>
      <c r="D695" s="4" t="s">
        <v>265</v>
      </c>
      <c r="E695" s="4" t="s">
        <v>265</v>
      </c>
      <c r="F695" s="4"/>
      <c r="G695" s="4"/>
      <c r="H695" s="3">
        <v>0.375</v>
      </c>
      <c r="I695" s="3">
        <v>0.375</v>
      </c>
      <c r="J695" s="3">
        <v>0.375</v>
      </c>
      <c r="K695" s="4"/>
      <c r="L695" s="4"/>
      <c r="M695" s="4"/>
      <c r="N695" s="4"/>
      <c r="O695" s="4"/>
      <c r="P695" s="4"/>
    </row>
    <row r="696" spans="1:16" x14ac:dyDescent="0.25">
      <c r="A696" s="4" t="s">
        <v>246</v>
      </c>
      <c r="B696" s="4" t="s">
        <v>25</v>
      </c>
      <c r="C696" s="4" t="s">
        <v>25</v>
      </c>
      <c r="D696" s="4" t="s">
        <v>25</v>
      </c>
      <c r="E696" s="4" t="s">
        <v>25</v>
      </c>
      <c r="F696" s="4" t="s">
        <v>25</v>
      </c>
      <c r="G696" s="4" t="s">
        <v>25</v>
      </c>
      <c r="H696" s="4"/>
      <c r="I696" s="4"/>
      <c r="J696" s="4"/>
      <c r="K696" s="4"/>
      <c r="L696" s="4"/>
      <c r="M696" s="4"/>
      <c r="N696" s="4"/>
      <c r="O696" s="4"/>
      <c r="P696" s="4"/>
    </row>
    <row r="697" spans="1:16" x14ac:dyDescent="0.25">
      <c r="A697" s="4" t="s">
        <v>247</v>
      </c>
      <c r="B697" s="4" t="s">
        <v>25</v>
      </c>
      <c r="C697" s="4" t="s">
        <v>25</v>
      </c>
      <c r="D697" s="4" t="s">
        <v>25</v>
      </c>
      <c r="E697" s="4" t="s">
        <v>25</v>
      </c>
      <c r="F697" s="4" t="s">
        <v>25</v>
      </c>
      <c r="G697" s="4" t="s">
        <v>25</v>
      </c>
      <c r="H697" s="4"/>
      <c r="I697" s="4"/>
      <c r="J697" s="4"/>
      <c r="K697" s="4"/>
      <c r="L697" s="4"/>
      <c r="M697" s="4"/>
      <c r="N697" s="4"/>
      <c r="O697" s="4"/>
      <c r="P697" s="4"/>
    </row>
    <row r="698" spans="1:16" x14ac:dyDescent="0.25">
      <c r="A698" s="4" t="s">
        <v>248</v>
      </c>
      <c r="B698" s="3">
        <v>0.5444444444444444</v>
      </c>
      <c r="C698" s="3">
        <v>0.59375</v>
      </c>
      <c r="D698" s="3">
        <v>0.6333333333333333</v>
      </c>
      <c r="E698" s="3">
        <v>0.92152777777777783</v>
      </c>
      <c r="F698" s="4"/>
      <c r="G698" s="4"/>
      <c r="H698" s="3">
        <v>0.33333333333333331</v>
      </c>
      <c r="I698" s="3">
        <v>0.33333333333333331</v>
      </c>
      <c r="J698" s="4"/>
      <c r="K698" s="4"/>
      <c r="L698" s="4"/>
      <c r="M698" s="4"/>
      <c r="N698" s="3">
        <v>4.8611111111111112E-3</v>
      </c>
      <c r="O698" s="4"/>
      <c r="P698" s="3">
        <v>6.9444444444444441E-3</v>
      </c>
    </row>
    <row r="699" spans="1:16" x14ac:dyDescent="0.25">
      <c r="A699" s="4" t="s">
        <v>249</v>
      </c>
      <c r="B699" s="3">
        <v>0.50416666666666665</v>
      </c>
      <c r="C699" s="3">
        <v>0.57222222222222219</v>
      </c>
      <c r="D699" s="4" t="s">
        <v>52</v>
      </c>
      <c r="E699" s="4" t="s">
        <v>52</v>
      </c>
      <c r="F699" s="4"/>
      <c r="G699" s="4"/>
      <c r="H699" s="3">
        <v>0.375</v>
      </c>
      <c r="I699" s="3">
        <v>0.375</v>
      </c>
      <c r="J699" s="3">
        <v>0.30694444444444441</v>
      </c>
      <c r="K699" s="4"/>
      <c r="L699" s="4"/>
      <c r="M699" s="4"/>
      <c r="N699" s="4"/>
      <c r="O699" s="4"/>
      <c r="P699" s="4"/>
    </row>
    <row r="700" spans="1:16" x14ac:dyDescent="0.25">
      <c r="A700" s="4" t="s">
        <v>251</v>
      </c>
      <c r="B700" s="4" t="s">
        <v>52</v>
      </c>
      <c r="C700" s="4" t="s">
        <v>52</v>
      </c>
      <c r="D700" s="4" t="s">
        <v>52</v>
      </c>
      <c r="E700" s="4" t="s">
        <v>52</v>
      </c>
      <c r="F700" s="4"/>
      <c r="G700" s="4"/>
      <c r="H700" s="3">
        <v>0.375</v>
      </c>
      <c r="I700" s="3">
        <v>0.375</v>
      </c>
      <c r="J700" s="3">
        <v>0.375</v>
      </c>
      <c r="K700" s="4"/>
      <c r="L700" s="4"/>
      <c r="M700" s="4"/>
      <c r="N700" s="4"/>
      <c r="O700" s="4"/>
      <c r="P700" s="4"/>
    </row>
    <row r="701" spans="1:16" x14ac:dyDescent="0.25">
      <c r="A701" s="4" t="s">
        <v>256</v>
      </c>
      <c r="B701" s="4" t="s">
        <v>52</v>
      </c>
      <c r="C701" s="4" t="s">
        <v>52</v>
      </c>
      <c r="D701" s="4" t="s">
        <v>52</v>
      </c>
      <c r="E701" s="4" t="s">
        <v>52</v>
      </c>
      <c r="F701" s="4"/>
      <c r="G701" s="4"/>
      <c r="H701" s="3">
        <v>0.375</v>
      </c>
      <c r="I701" s="3">
        <v>0.375</v>
      </c>
      <c r="J701" s="3">
        <v>0.375</v>
      </c>
      <c r="K701" s="4"/>
      <c r="L701" s="4"/>
      <c r="M701" s="4"/>
      <c r="N701" s="4"/>
      <c r="O701" s="4"/>
      <c r="P701" s="4"/>
    </row>
    <row r="702" spans="1:16" x14ac:dyDescent="0.25">
      <c r="A702" s="4" t="s">
        <v>259</v>
      </c>
      <c r="B702" s="3">
        <v>0.50138888888888888</v>
      </c>
      <c r="C702" s="3">
        <v>0.55555555555555558</v>
      </c>
      <c r="D702" s="3">
        <v>0.60277777777777775</v>
      </c>
      <c r="E702" s="3">
        <v>0.92361111111111116</v>
      </c>
      <c r="F702" s="4"/>
      <c r="G702" s="4"/>
      <c r="H702" s="3">
        <v>0.375</v>
      </c>
      <c r="I702" s="3">
        <v>0.375</v>
      </c>
      <c r="J702" s="4"/>
      <c r="K702" s="4"/>
      <c r="L702" s="4"/>
      <c r="M702" s="4"/>
      <c r="N702" s="3">
        <v>6.9444444444444441E-3</v>
      </c>
      <c r="O702" s="4"/>
      <c r="P702" s="4"/>
    </row>
    <row r="703" spans="1:16" x14ac:dyDescent="0.25">
      <c r="A703" s="4" t="s">
        <v>260</v>
      </c>
      <c r="B703" s="4" t="s">
        <v>25</v>
      </c>
      <c r="C703" s="4" t="s">
        <v>25</v>
      </c>
      <c r="D703" s="4" t="s">
        <v>25</v>
      </c>
      <c r="E703" s="4" t="s">
        <v>25</v>
      </c>
      <c r="F703" s="4" t="s">
        <v>25</v>
      </c>
      <c r="G703" s="4" t="s">
        <v>25</v>
      </c>
      <c r="H703" s="4"/>
      <c r="I703" s="4"/>
      <c r="J703" s="4"/>
      <c r="K703" s="4"/>
      <c r="L703" s="4"/>
      <c r="M703" s="4"/>
      <c r="N703" s="4"/>
      <c r="O703" s="4"/>
      <c r="P703" s="4"/>
    </row>
    <row r="704" spans="1:16" x14ac:dyDescent="0.25">
      <c r="A704" s="4" t="s">
        <v>261</v>
      </c>
      <c r="B704" s="4" t="s">
        <v>25</v>
      </c>
      <c r="C704" s="4" t="s">
        <v>25</v>
      </c>
      <c r="D704" s="4" t="s">
        <v>25</v>
      </c>
      <c r="E704" s="4" t="s">
        <v>25</v>
      </c>
      <c r="F704" s="4" t="s">
        <v>25</v>
      </c>
      <c r="G704" s="4" t="s">
        <v>25</v>
      </c>
      <c r="H704" s="4"/>
      <c r="I704" s="4"/>
      <c r="J704" s="4"/>
      <c r="K704" s="4"/>
      <c r="L704" s="4"/>
      <c r="M704" s="4"/>
      <c r="N704" s="4"/>
      <c r="O704" s="4"/>
      <c r="P704" s="4"/>
    </row>
    <row r="705" spans="1:16" x14ac:dyDescent="0.25">
      <c r="A705" s="4" t="s">
        <v>262</v>
      </c>
      <c r="B705" s="3">
        <v>0.54375000000000007</v>
      </c>
      <c r="C705" s="3">
        <v>0.59583333333333333</v>
      </c>
      <c r="D705" s="3">
        <v>0.63680555555555551</v>
      </c>
      <c r="E705" s="3">
        <v>0.92361111111111116</v>
      </c>
      <c r="F705" s="4"/>
      <c r="G705" s="4"/>
      <c r="H705" s="3">
        <v>0.33333333333333331</v>
      </c>
      <c r="I705" s="3">
        <v>0.33333333333333331</v>
      </c>
      <c r="J705" s="4"/>
      <c r="K705" s="4"/>
      <c r="L705" s="4"/>
      <c r="M705" s="4"/>
      <c r="N705" s="3">
        <v>6.9444444444444441E-3</v>
      </c>
      <c r="O705" s="4"/>
      <c r="P705" s="3">
        <v>7.6388888888888886E-3</v>
      </c>
    </row>
    <row r="706" spans="1:16" x14ac:dyDescent="0.25">
      <c r="A706" s="4" t="s">
        <v>263</v>
      </c>
      <c r="B706" s="3">
        <v>0.51041666666666663</v>
      </c>
      <c r="C706" s="3">
        <v>0.56666666666666665</v>
      </c>
      <c r="D706" s="3">
        <v>0.61041666666666672</v>
      </c>
      <c r="E706" s="3">
        <v>0.9194444444444444</v>
      </c>
      <c r="F706" s="4"/>
      <c r="G706" s="4"/>
      <c r="H706" s="3">
        <v>0.375</v>
      </c>
      <c r="I706" s="3">
        <v>0.36249999999999999</v>
      </c>
      <c r="J706" s="4"/>
      <c r="K706" s="4"/>
      <c r="L706" s="4"/>
      <c r="M706" s="4"/>
      <c r="N706" s="4"/>
      <c r="O706" s="3">
        <v>1.2499999999999999E-2</v>
      </c>
      <c r="P706" s="4"/>
    </row>
    <row r="707" spans="1:16" x14ac:dyDescent="0.25">
      <c r="A707" s="4" t="s">
        <v>264</v>
      </c>
      <c r="B707" s="3">
        <v>0.50416666666666665</v>
      </c>
      <c r="C707" s="3">
        <v>0.57361111111111118</v>
      </c>
      <c r="D707" s="3">
        <v>0.61319444444444449</v>
      </c>
      <c r="E707" s="3">
        <v>0.92222222222222217</v>
      </c>
      <c r="F707" s="4"/>
      <c r="G707" s="4"/>
      <c r="H707" s="3">
        <v>0.375</v>
      </c>
      <c r="I707" s="3">
        <v>0.375</v>
      </c>
      <c r="J707" s="4"/>
      <c r="K707" s="4"/>
      <c r="L707" s="4"/>
      <c r="M707" s="4"/>
      <c r="N707" s="3">
        <v>5.5555555555555558E-3</v>
      </c>
      <c r="O707" s="4"/>
      <c r="P707" s="4"/>
    </row>
    <row r="709" spans="1:16" x14ac:dyDescent="0.25">
      <c r="A709" s="7" t="s">
        <v>45</v>
      </c>
    </row>
    <row r="712" spans="1:16" x14ac:dyDescent="0.25">
      <c r="A712" s="7" t="s">
        <v>46</v>
      </c>
    </row>
    <row r="713" spans="1:16" x14ac:dyDescent="0.25">
      <c r="A713" s="7" t="s">
        <v>74</v>
      </c>
      <c r="F713" s="7" t="s">
        <v>47</v>
      </c>
    </row>
    <row r="714" spans="1:16" x14ac:dyDescent="0.25">
      <c r="F714" s="7"/>
    </row>
    <row r="718" spans="1:16" x14ac:dyDescent="0.25">
      <c r="G718" s="1" t="s">
        <v>18</v>
      </c>
    </row>
    <row r="719" spans="1:16" x14ac:dyDescent="0.25">
      <c r="A719" s="1" t="s">
        <v>1</v>
      </c>
      <c r="B719" t="s">
        <v>2</v>
      </c>
      <c r="H719" s="1" t="s">
        <v>19</v>
      </c>
      <c r="I719" s="1" t="s">
        <v>20</v>
      </c>
      <c r="J719" s="1" t="s">
        <v>21</v>
      </c>
      <c r="K719" s="1" t="s">
        <v>22</v>
      </c>
      <c r="L719" s="1" t="s">
        <v>23</v>
      </c>
      <c r="M719" s="1" t="s">
        <v>24</v>
      </c>
    </row>
    <row r="720" spans="1:16" x14ac:dyDescent="0.25">
      <c r="A720" s="1" t="s">
        <v>3</v>
      </c>
      <c r="B720" t="s">
        <v>4</v>
      </c>
      <c r="G720" s="1" t="s">
        <v>220</v>
      </c>
      <c r="H720" s="3">
        <v>0.41666666666666669</v>
      </c>
      <c r="I720" s="3">
        <v>0.54166666666666663</v>
      </c>
      <c r="J720" s="3">
        <v>0.58333333333333337</v>
      </c>
      <c r="K720" s="3">
        <v>0.79166666666666663</v>
      </c>
      <c r="L720" s="4"/>
      <c r="M720" s="4"/>
    </row>
    <row r="721" spans="1:16" x14ac:dyDescent="0.25">
      <c r="A721" s="1" t="s">
        <v>5</v>
      </c>
      <c r="B721" t="s">
        <v>6</v>
      </c>
      <c r="G721" s="1" t="s">
        <v>221</v>
      </c>
      <c r="H721" s="3">
        <v>0.41666666666666669</v>
      </c>
      <c r="I721" s="3">
        <v>0.54166666666666663</v>
      </c>
      <c r="J721" s="3">
        <v>0.58333333333333337</v>
      </c>
      <c r="K721" s="3">
        <v>0.83333333333333337</v>
      </c>
      <c r="L721" s="4"/>
      <c r="M721" s="4"/>
    </row>
    <row r="722" spans="1:16" x14ac:dyDescent="0.25">
      <c r="G722" s="1" t="s">
        <v>222</v>
      </c>
      <c r="H722" s="3">
        <v>0.41666666666666669</v>
      </c>
      <c r="I722" s="3">
        <v>0.54166666666666663</v>
      </c>
      <c r="J722" s="3">
        <v>0.58333333333333337</v>
      </c>
      <c r="K722" s="3">
        <v>0.83333333333333337</v>
      </c>
      <c r="L722" s="4"/>
      <c r="M722" s="4"/>
    </row>
    <row r="723" spans="1:16" x14ac:dyDescent="0.25">
      <c r="A723" s="1" t="s">
        <v>7</v>
      </c>
      <c r="B723" t="s">
        <v>76</v>
      </c>
      <c r="G723" s="1" t="s">
        <v>223</v>
      </c>
      <c r="H723" s="3">
        <v>0.41666666666666669</v>
      </c>
      <c r="I723" s="3">
        <v>0.54166666666666663</v>
      </c>
      <c r="J723" s="3">
        <v>0.58333333333333337</v>
      </c>
      <c r="K723" s="3">
        <v>0.83333333333333337</v>
      </c>
      <c r="L723" s="4"/>
      <c r="M723" s="4"/>
    </row>
    <row r="724" spans="1:16" x14ac:dyDescent="0.25">
      <c r="A724" s="1" t="s">
        <v>9</v>
      </c>
      <c r="B724" t="s">
        <v>77</v>
      </c>
      <c r="D724" s="1" t="s">
        <v>11</v>
      </c>
      <c r="E724" t="s">
        <v>77</v>
      </c>
      <c r="G724" s="1" t="s">
        <v>224</v>
      </c>
      <c r="H724" s="3">
        <v>0.41666666666666669</v>
      </c>
      <c r="I724" s="3">
        <v>0.54166666666666663</v>
      </c>
      <c r="J724" s="3">
        <v>0.58333333333333337</v>
      </c>
      <c r="K724" s="3">
        <v>0.83333333333333337</v>
      </c>
      <c r="L724" s="4"/>
      <c r="M724" s="4"/>
    </row>
    <row r="725" spans="1:16" x14ac:dyDescent="0.25">
      <c r="A725" s="1" t="s">
        <v>12</v>
      </c>
      <c r="D725" s="1" t="s">
        <v>13</v>
      </c>
      <c r="E725" s="2">
        <v>42506</v>
      </c>
      <c r="G725" s="1" t="s">
        <v>225</v>
      </c>
      <c r="H725" s="4" t="s">
        <v>25</v>
      </c>
      <c r="I725" s="4" t="s">
        <v>25</v>
      </c>
      <c r="J725" s="4" t="s">
        <v>25</v>
      </c>
      <c r="K725" s="4" t="s">
        <v>25</v>
      </c>
      <c r="L725" s="4" t="s">
        <v>25</v>
      </c>
      <c r="M725" s="4" t="s">
        <v>25</v>
      </c>
    </row>
    <row r="726" spans="1:16" x14ac:dyDescent="0.25">
      <c r="A726" s="1" t="s">
        <v>14</v>
      </c>
      <c r="B726" t="s">
        <v>58</v>
      </c>
      <c r="G726" s="1" t="s">
        <v>226</v>
      </c>
      <c r="H726" s="4" t="s">
        <v>25</v>
      </c>
      <c r="I726" s="4" t="s">
        <v>25</v>
      </c>
      <c r="J726" s="4" t="s">
        <v>25</v>
      </c>
      <c r="K726" s="4" t="s">
        <v>25</v>
      </c>
      <c r="L726" s="4" t="s">
        <v>25</v>
      </c>
      <c r="M726" s="4" t="s">
        <v>25</v>
      </c>
    </row>
    <row r="727" spans="1:16" x14ac:dyDescent="0.25">
      <c r="A727" s="1" t="s">
        <v>16</v>
      </c>
      <c r="B727" t="s">
        <v>17</v>
      </c>
    </row>
    <row r="730" spans="1:16" x14ac:dyDescent="0.25">
      <c r="A730" s="5" t="s">
        <v>26</v>
      </c>
      <c r="B730" s="5" t="s">
        <v>27</v>
      </c>
      <c r="C730" s="5" t="s">
        <v>28</v>
      </c>
      <c r="D730" s="5" t="s">
        <v>29</v>
      </c>
      <c r="E730" s="5" t="s">
        <v>30</v>
      </c>
      <c r="F730" s="5" t="s">
        <v>31</v>
      </c>
      <c r="G730" s="5" t="s">
        <v>32</v>
      </c>
      <c r="H730" s="5" t="s">
        <v>33</v>
      </c>
      <c r="I730" s="5" t="s">
        <v>34</v>
      </c>
      <c r="J730" s="5" t="s">
        <v>35</v>
      </c>
      <c r="K730" s="5" t="s">
        <v>36</v>
      </c>
      <c r="L730" s="5" t="s">
        <v>37</v>
      </c>
      <c r="M730" s="5" t="s">
        <v>38</v>
      </c>
      <c r="N730" s="5" t="s">
        <v>39</v>
      </c>
      <c r="O730" s="5" t="s">
        <v>40</v>
      </c>
      <c r="P730" s="5" t="s">
        <v>41</v>
      </c>
    </row>
    <row r="731" spans="1:16" x14ac:dyDescent="0.25">
      <c r="A731" s="4"/>
      <c r="B731" s="4"/>
      <c r="C731" s="4"/>
      <c r="D731" s="4"/>
      <c r="E731" s="4"/>
      <c r="F731" s="4"/>
      <c r="G731" s="4"/>
      <c r="H731" s="6">
        <v>8.0416666666666661</v>
      </c>
      <c r="I731" s="6">
        <v>8.0118055555555561</v>
      </c>
      <c r="J731" s="6">
        <v>1.3513888888888888</v>
      </c>
      <c r="K731" s="3">
        <v>0</v>
      </c>
      <c r="L731" s="3">
        <v>0</v>
      </c>
      <c r="M731" s="3">
        <v>0</v>
      </c>
      <c r="N731" s="3">
        <v>0</v>
      </c>
      <c r="O731" s="3">
        <v>2.9861111111111113E-2</v>
      </c>
      <c r="P731" s="3">
        <v>1.7361111111111112E-2</v>
      </c>
    </row>
    <row r="732" spans="1:16" x14ac:dyDescent="0.25">
      <c r="A732" s="4" t="s">
        <v>227</v>
      </c>
      <c r="B732" s="3">
        <v>0.4152777777777778</v>
      </c>
      <c r="C732" s="3">
        <v>0.5708333333333333</v>
      </c>
      <c r="D732" s="3">
        <v>0.61527777777777781</v>
      </c>
      <c r="E732" s="3">
        <v>0.79236111111111107</v>
      </c>
      <c r="F732" s="4"/>
      <c r="G732" s="4"/>
      <c r="H732" s="3">
        <v>0.33333333333333331</v>
      </c>
      <c r="I732" s="3">
        <v>0.33333333333333331</v>
      </c>
      <c r="J732" s="4"/>
      <c r="K732" s="4"/>
      <c r="L732" s="4"/>
      <c r="M732" s="4"/>
      <c r="N732" s="4"/>
      <c r="O732" s="4"/>
      <c r="P732" s="4"/>
    </row>
    <row r="733" spans="1:16" x14ac:dyDescent="0.25">
      <c r="A733" s="4" t="s">
        <v>228</v>
      </c>
      <c r="B733" s="3">
        <v>0.42222222222222222</v>
      </c>
      <c r="C733" s="3">
        <v>0.51458333333333328</v>
      </c>
      <c r="D733" s="3">
        <v>0.55277777777777781</v>
      </c>
      <c r="E733" s="3">
        <v>0.83333333333333337</v>
      </c>
      <c r="F733" s="4"/>
      <c r="G733" s="4"/>
      <c r="H733" s="3">
        <v>0.375</v>
      </c>
      <c r="I733" s="3">
        <v>0.375</v>
      </c>
      <c r="J733" s="4"/>
      <c r="K733" s="4"/>
      <c r="L733" s="4"/>
      <c r="M733" s="4"/>
      <c r="N733" s="4"/>
      <c r="O733" s="4"/>
      <c r="P733" s="4"/>
    </row>
    <row r="734" spans="1:16" x14ac:dyDescent="0.25">
      <c r="A734" s="4" t="s">
        <v>229</v>
      </c>
      <c r="B734" s="3">
        <v>0.42083333333333334</v>
      </c>
      <c r="C734" s="3">
        <v>0.54305555555555551</v>
      </c>
      <c r="D734" s="3">
        <v>0.58402777777777781</v>
      </c>
      <c r="E734" s="3">
        <v>0.83333333333333337</v>
      </c>
      <c r="F734" s="4"/>
      <c r="G734" s="4"/>
      <c r="H734" s="3">
        <v>0.375</v>
      </c>
      <c r="I734" s="3">
        <v>0.375</v>
      </c>
      <c r="J734" s="4"/>
      <c r="K734" s="4"/>
      <c r="L734" s="4"/>
      <c r="M734" s="4"/>
      <c r="N734" s="4"/>
      <c r="O734" s="4"/>
      <c r="P734" s="4"/>
    </row>
    <row r="735" spans="1:16" x14ac:dyDescent="0.25">
      <c r="A735" s="4" t="s">
        <v>230</v>
      </c>
      <c r="B735" s="3">
        <v>0.41736111111111113</v>
      </c>
      <c r="C735" s="3">
        <v>0.53402777777777777</v>
      </c>
      <c r="D735" s="3">
        <v>0.57361111111111118</v>
      </c>
      <c r="E735" s="3">
        <v>0.83333333333333337</v>
      </c>
      <c r="F735" s="4"/>
      <c r="G735" s="4"/>
      <c r="H735" s="3">
        <v>0.375</v>
      </c>
      <c r="I735" s="3">
        <v>0.375</v>
      </c>
      <c r="J735" s="4"/>
      <c r="K735" s="4"/>
      <c r="L735" s="4"/>
      <c r="M735" s="4"/>
      <c r="N735" s="4"/>
      <c r="O735" s="4"/>
      <c r="P735" s="4"/>
    </row>
    <row r="736" spans="1:16" x14ac:dyDescent="0.25">
      <c r="A736" s="4" t="s">
        <v>231</v>
      </c>
      <c r="B736" s="3">
        <v>0.4236111111111111</v>
      </c>
      <c r="C736" s="3">
        <v>0.5395833333333333</v>
      </c>
      <c r="D736" s="3">
        <v>0.58611111111111114</v>
      </c>
      <c r="E736" s="3">
        <v>0.83333333333333337</v>
      </c>
      <c r="F736" s="4"/>
      <c r="G736" s="4"/>
      <c r="H736" s="3">
        <v>0.375</v>
      </c>
      <c r="I736" s="3">
        <v>0.36805555555555558</v>
      </c>
      <c r="J736" s="4"/>
      <c r="K736" s="4"/>
      <c r="L736" s="4"/>
      <c r="M736" s="4"/>
      <c r="N736" s="4"/>
      <c r="O736" s="3">
        <v>6.9444444444444441E-3</v>
      </c>
      <c r="P736" s="4"/>
    </row>
    <row r="737" spans="1:16" x14ac:dyDescent="0.25">
      <c r="A737" s="4" t="s">
        <v>232</v>
      </c>
      <c r="B737" s="4" t="s">
        <v>25</v>
      </c>
      <c r="C737" s="4" t="s">
        <v>25</v>
      </c>
      <c r="D737" s="4" t="s">
        <v>25</v>
      </c>
      <c r="E737" s="4" t="s">
        <v>25</v>
      </c>
      <c r="F737" s="4" t="s">
        <v>25</v>
      </c>
      <c r="G737" s="4" t="s">
        <v>25</v>
      </c>
      <c r="H737" s="4"/>
      <c r="I737" s="4"/>
      <c r="J737" s="4"/>
      <c r="K737" s="4"/>
      <c r="L737" s="4"/>
      <c r="M737" s="4"/>
      <c r="N737" s="4"/>
      <c r="O737" s="4"/>
      <c r="P737" s="4"/>
    </row>
    <row r="738" spans="1:16" x14ac:dyDescent="0.25">
      <c r="A738" s="4" t="s">
        <v>233</v>
      </c>
      <c r="B738" s="4" t="s">
        <v>25</v>
      </c>
      <c r="C738" s="4" t="s">
        <v>25</v>
      </c>
      <c r="D738" s="4" t="s">
        <v>25</v>
      </c>
      <c r="E738" s="4" t="s">
        <v>25</v>
      </c>
      <c r="F738" s="4" t="s">
        <v>25</v>
      </c>
      <c r="G738" s="4" t="s">
        <v>25</v>
      </c>
      <c r="H738" s="4"/>
      <c r="I738" s="4"/>
      <c r="J738" s="4"/>
      <c r="K738" s="4"/>
      <c r="L738" s="4"/>
      <c r="M738" s="4"/>
      <c r="N738" s="4"/>
      <c r="O738" s="4"/>
      <c r="P738" s="4"/>
    </row>
    <row r="739" spans="1:16" x14ac:dyDescent="0.25">
      <c r="A739" s="4" t="s">
        <v>234</v>
      </c>
      <c r="B739" s="3">
        <v>0.4152777777777778</v>
      </c>
      <c r="C739" s="3">
        <v>0.55902777777777779</v>
      </c>
      <c r="D739" s="3">
        <v>0.60069444444444442</v>
      </c>
      <c r="E739" s="3">
        <v>0.79305555555555562</v>
      </c>
      <c r="F739" s="4"/>
      <c r="G739" s="4"/>
      <c r="H739" s="3">
        <v>0.33333333333333331</v>
      </c>
      <c r="I739" s="3">
        <v>0.33333333333333331</v>
      </c>
      <c r="J739" s="4"/>
      <c r="K739" s="4"/>
      <c r="L739" s="4"/>
      <c r="M739" s="4"/>
      <c r="N739" s="4"/>
      <c r="O739" s="4"/>
      <c r="P739" s="4"/>
    </row>
    <row r="740" spans="1:16" x14ac:dyDescent="0.25">
      <c r="A740" s="4" t="s">
        <v>235</v>
      </c>
      <c r="B740" s="3">
        <v>0.40972222222222227</v>
      </c>
      <c r="C740" s="3">
        <v>0.56597222222222221</v>
      </c>
      <c r="D740" s="3">
        <v>0.60833333333333328</v>
      </c>
      <c r="E740" s="3">
        <v>0.83750000000000002</v>
      </c>
      <c r="F740" s="4"/>
      <c r="G740" s="4"/>
      <c r="H740" s="3">
        <v>0.375</v>
      </c>
      <c r="I740" s="3">
        <v>0.375</v>
      </c>
      <c r="J740" s="4"/>
      <c r="K740" s="4"/>
      <c r="L740" s="4"/>
      <c r="M740" s="4"/>
      <c r="N740" s="4"/>
      <c r="O740" s="4"/>
      <c r="P740" s="3">
        <v>1.0416666666666666E-2</v>
      </c>
    </row>
    <row r="741" spans="1:16" x14ac:dyDescent="0.25">
      <c r="A741" s="4" t="s">
        <v>236</v>
      </c>
      <c r="B741" s="3">
        <v>0.41111111111111115</v>
      </c>
      <c r="C741" s="3">
        <v>0.53402777777777777</v>
      </c>
      <c r="D741" s="3">
        <v>0.5756944444444444</v>
      </c>
      <c r="E741" s="3">
        <v>0.83333333333333337</v>
      </c>
      <c r="F741" s="4"/>
      <c r="G741" s="4"/>
      <c r="H741" s="3">
        <v>0.375</v>
      </c>
      <c r="I741" s="3">
        <v>0.375</v>
      </c>
      <c r="J741" s="4"/>
      <c r="K741" s="4"/>
      <c r="L741" s="4"/>
      <c r="M741" s="4"/>
      <c r="N741" s="4"/>
      <c r="O741" s="4"/>
      <c r="P741" s="4"/>
    </row>
    <row r="742" spans="1:16" x14ac:dyDescent="0.25">
      <c r="A742" s="4" t="s">
        <v>237</v>
      </c>
      <c r="B742" s="3">
        <v>0.43194444444444446</v>
      </c>
      <c r="C742" s="3">
        <v>0.53402777777777777</v>
      </c>
      <c r="D742" s="3">
        <v>0.57777777777777783</v>
      </c>
      <c r="E742" s="3">
        <v>0.85763888888888884</v>
      </c>
      <c r="F742" s="4"/>
      <c r="G742" s="4"/>
      <c r="H742" s="3">
        <v>0.375</v>
      </c>
      <c r="I742" s="3">
        <v>0.375</v>
      </c>
      <c r="J742" s="4"/>
      <c r="K742" s="4"/>
      <c r="L742" s="4"/>
      <c r="M742" s="4"/>
      <c r="N742" s="4"/>
      <c r="O742" s="4"/>
      <c r="P742" s="3">
        <v>6.9444444444444441E-3</v>
      </c>
    </row>
    <row r="743" spans="1:16" x14ac:dyDescent="0.25">
      <c r="A743" s="4" t="s">
        <v>238</v>
      </c>
      <c r="B743" s="3">
        <v>0.42083333333333334</v>
      </c>
      <c r="C743" s="3">
        <v>0.53680555555555554</v>
      </c>
      <c r="D743" s="3">
        <v>0.58263888888888882</v>
      </c>
      <c r="E743" s="3">
        <v>0.8340277777777777</v>
      </c>
      <c r="F743" s="4"/>
      <c r="G743" s="4"/>
      <c r="H743" s="3">
        <v>0.375</v>
      </c>
      <c r="I743" s="3">
        <v>0.3659722222222222</v>
      </c>
      <c r="J743" s="4"/>
      <c r="K743" s="4"/>
      <c r="L743" s="4"/>
      <c r="M743" s="4"/>
      <c r="N743" s="4"/>
      <c r="O743" s="3">
        <v>9.0277777777777787E-3</v>
      </c>
      <c r="P743" s="4"/>
    </row>
    <row r="744" spans="1:16" x14ac:dyDescent="0.25">
      <c r="A744" s="4" t="s">
        <v>239</v>
      </c>
      <c r="B744" s="4" t="s">
        <v>25</v>
      </c>
      <c r="C744" s="4" t="s">
        <v>25</v>
      </c>
      <c r="D744" s="4" t="s">
        <v>25</v>
      </c>
      <c r="E744" s="4" t="s">
        <v>25</v>
      </c>
      <c r="F744" s="4" t="s">
        <v>25</v>
      </c>
      <c r="G744" s="4" t="s">
        <v>25</v>
      </c>
      <c r="H744" s="4"/>
      <c r="I744" s="4"/>
      <c r="J744" s="4"/>
      <c r="K744" s="4"/>
      <c r="L744" s="4"/>
      <c r="M744" s="4"/>
      <c r="N744" s="4"/>
      <c r="O744" s="4"/>
      <c r="P744" s="4"/>
    </row>
    <row r="745" spans="1:16" x14ac:dyDescent="0.25">
      <c r="A745" s="4" t="s">
        <v>240</v>
      </c>
      <c r="B745" s="4" t="s">
        <v>25</v>
      </c>
      <c r="C745" s="4" t="s">
        <v>25</v>
      </c>
      <c r="D745" s="4" t="s">
        <v>25</v>
      </c>
      <c r="E745" s="4" t="s">
        <v>25</v>
      </c>
      <c r="F745" s="4" t="s">
        <v>25</v>
      </c>
      <c r="G745" s="4" t="s">
        <v>25</v>
      </c>
      <c r="H745" s="4"/>
      <c r="I745" s="4"/>
      <c r="J745" s="4"/>
      <c r="K745" s="4"/>
      <c r="L745" s="4"/>
      <c r="M745" s="4"/>
      <c r="N745" s="4"/>
      <c r="O745" s="4"/>
      <c r="P745" s="4"/>
    </row>
    <row r="746" spans="1:16" x14ac:dyDescent="0.25">
      <c r="A746" s="4" t="s">
        <v>241</v>
      </c>
      <c r="B746" s="3">
        <v>0.41736111111111113</v>
      </c>
      <c r="C746" s="3">
        <v>0.55069444444444449</v>
      </c>
      <c r="D746" s="3">
        <v>0.58750000000000002</v>
      </c>
      <c r="E746" s="3">
        <v>0.79305555555555562</v>
      </c>
      <c r="F746" s="4"/>
      <c r="G746" s="4"/>
      <c r="H746" s="3">
        <v>0.33333333333333331</v>
      </c>
      <c r="I746" s="3">
        <v>0.33333333333333331</v>
      </c>
      <c r="J746" s="4"/>
      <c r="K746" s="4"/>
      <c r="L746" s="4"/>
      <c r="M746" s="4"/>
      <c r="N746" s="4"/>
      <c r="O746" s="4"/>
      <c r="P746" s="4"/>
    </row>
    <row r="747" spans="1:16" x14ac:dyDescent="0.25">
      <c r="A747" s="4" t="s">
        <v>242</v>
      </c>
      <c r="B747" s="3">
        <v>0.41944444444444445</v>
      </c>
      <c r="C747" s="3">
        <v>0.57222222222222219</v>
      </c>
      <c r="D747" s="3">
        <v>0.61388888888888882</v>
      </c>
      <c r="E747" s="3">
        <v>0.83333333333333337</v>
      </c>
      <c r="F747" s="4"/>
      <c r="G747" s="4"/>
      <c r="H747" s="3">
        <v>0.375</v>
      </c>
      <c r="I747" s="3">
        <v>0.375</v>
      </c>
      <c r="J747" s="4"/>
      <c r="K747" s="4"/>
      <c r="L747" s="4"/>
      <c r="M747" s="4"/>
      <c r="N747" s="4"/>
      <c r="O747" s="4"/>
      <c r="P747" s="4"/>
    </row>
    <row r="748" spans="1:16" x14ac:dyDescent="0.25">
      <c r="A748" s="4" t="s">
        <v>243</v>
      </c>
      <c r="B748" s="3">
        <v>0.4152777777777778</v>
      </c>
      <c r="C748" s="3">
        <v>0.55833333333333335</v>
      </c>
      <c r="D748" s="3">
        <v>0.61388888888888882</v>
      </c>
      <c r="E748" s="3">
        <v>0.83333333333333337</v>
      </c>
      <c r="F748" s="4"/>
      <c r="G748" s="4"/>
      <c r="H748" s="3">
        <v>0.375</v>
      </c>
      <c r="I748" s="3">
        <v>0.3611111111111111</v>
      </c>
      <c r="J748" s="4"/>
      <c r="K748" s="4"/>
      <c r="L748" s="4"/>
      <c r="M748" s="4"/>
      <c r="N748" s="4"/>
      <c r="O748" s="3">
        <v>1.3888888888888888E-2</v>
      </c>
      <c r="P748" s="4"/>
    </row>
    <row r="749" spans="1:16" x14ac:dyDescent="0.25">
      <c r="A749" s="4" t="s">
        <v>244</v>
      </c>
      <c r="B749" s="4" t="s">
        <v>265</v>
      </c>
      <c r="C749" s="4" t="s">
        <v>265</v>
      </c>
      <c r="D749" s="4" t="s">
        <v>265</v>
      </c>
      <c r="E749" s="4" t="s">
        <v>265</v>
      </c>
      <c r="F749" s="4"/>
      <c r="G749" s="4"/>
      <c r="H749" s="4"/>
      <c r="I749" s="4"/>
      <c r="J749" s="4"/>
      <c r="K749" s="4"/>
      <c r="L749" s="4"/>
      <c r="M749" s="4"/>
      <c r="N749" s="4"/>
      <c r="O749" s="4"/>
      <c r="P749" s="4"/>
    </row>
    <row r="750" spans="1:16" x14ac:dyDescent="0.25">
      <c r="A750" s="4" t="s">
        <v>245</v>
      </c>
      <c r="B750" s="4" t="s">
        <v>265</v>
      </c>
      <c r="C750" s="4" t="s">
        <v>265</v>
      </c>
      <c r="D750" s="4" t="s">
        <v>265</v>
      </c>
      <c r="E750" s="4" t="s">
        <v>265</v>
      </c>
      <c r="F750" s="4"/>
      <c r="G750" s="4"/>
      <c r="H750" s="3">
        <v>0.375</v>
      </c>
      <c r="I750" s="3">
        <v>0.375</v>
      </c>
      <c r="J750" s="3">
        <v>0.375</v>
      </c>
      <c r="K750" s="4"/>
      <c r="L750" s="4"/>
      <c r="M750" s="4"/>
      <c r="N750" s="4"/>
      <c r="O750" s="4"/>
      <c r="P750" s="4"/>
    </row>
    <row r="751" spans="1:16" x14ac:dyDescent="0.25">
      <c r="A751" s="4" t="s">
        <v>246</v>
      </c>
      <c r="B751" s="4" t="s">
        <v>25</v>
      </c>
      <c r="C751" s="4" t="s">
        <v>25</v>
      </c>
      <c r="D751" s="4" t="s">
        <v>25</v>
      </c>
      <c r="E751" s="4" t="s">
        <v>25</v>
      </c>
      <c r="F751" s="4" t="s">
        <v>25</v>
      </c>
      <c r="G751" s="4" t="s">
        <v>25</v>
      </c>
      <c r="H751" s="4"/>
      <c r="I751" s="4"/>
      <c r="J751" s="4"/>
      <c r="K751" s="4"/>
      <c r="L751" s="4"/>
      <c r="M751" s="4"/>
      <c r="N751" s="4"/>
      <c r="O751" s="4"/>
      <c r="P751" s="4"/>
    </row>
    <row r="752" spans="1:16" x14ac:dyDescent="0.25">
      <c r="A752" s="4" t="s">
        <v>247</v>
      </c>
      <c r="B752" s="4" t="s">
        <v>25</v>
      </c>
      <c r="C752" s="4" t="s">
        <v>25</v>
      </c>
      <c r="D752" s="4" t="s">
        <v>25</v>
      </c>
      <c r="E752" s="4" t="s">
        <v>25</v>
      </c>
      <c r="F752" s="4" t="s">
        <v>25</v>
      </c>
      <c r="G752" s="4" t="s">
        <v>25</v>
      </c>
      <c r="H752" s="4"/>
      <c r="I752" s="4"/>
      <c r="J752" s="4"/>
      <c r="K752" s="4"/>
      <c r="L752" s="4"/>
      <c r="M752" s="4"/>
      <c r="N752" s="4"/>
      <c r="O752" s="4"/>
      <c r="P752" s="4"/>
    </row>
    <row r="753" spans="1:16" x14ac:dyDescent="0.25">
      <c r="A753" s="4" t="s">
        <v>248</v>
      </c>
      <c r="B753" s="3">
        <v>0.4201388888888889</v>
      </c>
      <c r="C753" s="3">
        <v>0.53263888888888888</v>
      </c>
      <c r="D753" s="3">
        <v>0.57361111111111118</v>
      </c>
      <c r="E753" s="3">
        <v>0.79375000000000007</v>
      </c>
      <c r="F753" s="4"/>
      <c r="G753" s="4"/>
      <c r="H753" s="3">
        <v>0.33333333333333331</v>
      </c>
      <c r="I753" s="3">
        <v>0.33333333333333331</v>
      </c>
      <c r="J753" s="4"/>
      <c r="K753" s="4"/>
      <c r="L753" s="4"/>
      <c r="M753" s="4"/>
      <c r="N753" s="4"/>
      <c r="O753" s="4"/>
      <c r="P753" s="4"/>
    </row>
    <row r="754" spans="1:16" x14ac:dyDescent="0.25">
      <c r="A754" s="4" t="s">
        <v>249</v>
      </c>
      <c r="B754" s="3">
        <v>0.41180555555555554</v>
      </c>
      <c r="C754" s="3">
        <v>0.56041666666666667</v>
      </c>
      <c r="D754" s="4" t="s">
        <v>52</v>
      </c>
      <c r="E754" s="4" t="s">
        <v>52</v>
      </c>
      <c r="F754" s="4"/>
      <c r="G754" s="4"/>
      <c r="H754" s="3">
        <v>0.375</v>
      </c>
      <c r="I754" s="3">
        <v>0.375</v>
      </c>
      <c r="J754" s="3">
        <v>0.22638888888888889</v>
      </c>
      <c r="K754" s="4"/>
      <c r="L754" s="4"/>
      <c r="M754" s="4"/>
      <c r="N754" s="4"/>
      <c r="O754" s="4"/>
      <c r="P754" s="4"/>
    </row>
    <row r="755" spans="1:16" x14ac:dyDescent="0.25">
      <c r="A755" s="4" t="s">
        <v>251</v>
      </c>
      <c r="B755" s="4" t="s">
        <v>52</v>
      </c>
      <c r="C755" s="4" t="s">
        <v>52</v>
      </c>
      <c r="D755" s="4" t="s">
        <v>52</v>
      </c>
      <c r="E755" s="4" t="s">
        <v>52</v>
      </c>
      <c r="F755" s="4"/>
      <c r="G755" s="4"/>
      <c r="H755" s="3">
        <v>0.375</v>
      </c>
      <c r="I755" s="3">
        <v>0.375</v>
      </c>
      <c r="J755" s="3">
        <v>0.375</v>
      </c>
      <c r="K755" s="4"/>
      <c r="L755" s="4"/>
      <c r="M755" s="4"/>
      <c r="N755" s="4"/>
      <c r="O755" s="4"/>
      <c r="P755" s="4"/>
    </row>
    <row r="756" spans="1:16" x14ac:dyDescent="0.25">
      <c r="A756" s="4" t="s">
        <v>256</v>
      </c>
      <c r="B756" s="4" t="s">
        <v>52</v>
      </c>
      <c r="C756" s="4" t="s">
        <v>52</v>
      </c>
      <c r="D756" s="4" t="s">
        <v>52</v>
      </c>
      <c r="E756" s="4" t="s">
        <v>52</v>
      </c>
      <c r="F756" s="4"/>
      <c r="G756" s="4"/>
      <c r="H756" s="3">
        <v>0.375</v>
      </c>
      <c r="I756" s="3">
        <v>0.375</v>
      </c>
      <c r="J756" s="3">
        <v>0.375</v>
      </c>
      <c r="K756" s="4"/>
      <c r="L756" s="4"/>
      <c r="M756" s="4"/>
      <c r="N756" s="4"/>
      <c r="O756" s="4"/>
      <c r="P756" s="4"/>
    </row>
    <row r="757" spans="1:16" x14ac:dyDescent="0.25">
      <c r="A757" s="4" t="s">
        <v>259</v>
      </c>
      <c r="B757" s="3">
        <v>0.41250000000000003</v>
      </c>
      <c r="C757" s="3">
        <v>0.55555555555555558</v>
      </c>
      <c r="D757" s="3">
        <v>0.60277777777777775</v>
      </c>
      <c r="E757" s="3">
        <v>0.83333333333333337</v>
      </c>
      <c r="F757" s="4"/>
      <c r="G757" s="4"/>
      <c r="H757" s="3">
        <v>0.375</v>
      </c>
      <c r="I757" s="3">
        <v>0.375</v>
      </c>
      <c r="J757" s="4"/>
      <c r="K757" s="4"/>
      <c r="L757" s="4"/>
      <c r="M757" s="4"/>
      <c r="N757" s="4"/>
      <c r="O757" s="4"/>
      <c r="P757" s="4"/>
    </row>
    <row r="758" spans="1:16" x14ac:dyDescent="0.25">
      <c r="A758" s="4" t="s">
        <v>260</v>
      </c>
      <c r="B758" s="4" t="s">
        <v>25</v>
      </c>
      <c r="C758" s="4" t="s">
        <v>25</v>
      </c>
      <c r="D758" s="4" t="s">
        <v>25</v>
      </c>
      <c r="E758" s="4" t="s">
        <v>25</v>
      </c>
      <c r="F758" s="4" t="s">
        <v>25</v>
      </c>
      <c r="G758" s="4" t="s">
        <v>25</v>
      </c>
      <c r="H758" s="4"/>
      <c r="I758" s="4"/>
      <c r="J758" s="4"/>
      <c r="K758" s="4"/>
      <c r="L758" s="4"/>
      <c r="M758" s="4"/>
      <c r="N758" s="4"/>
      <c r="O758" s="4"/>
      <c r="P758" s="4"/>
    </row>
    <row r="759" spans="1:16" x14ac:dyDescent="0.25">
      <c r="A759" s="4" t="s">
        <v>261</v>
      </c>
      <c r="B759" s="4" t="s">
        <v>25</v>
      </c>
      <c r="C759" s="4" t="s">
        <v>25</v>
      </c>
      <c r="D759" s="4" t="s">
        <v>25</v>
      </c>
      <c r="E759" s="4" t="s">
        <v>25</v>
      </c>
      <c r="F759" s="4" t="s">
        <v>25</v>
      </c>
      <c r="G759" s="4" t="s">
        <v>25</v>
      </c>
      <c r="H759" s="4"/>
      <c r="I759" s="4"/>
      <c r="J759" s="4"/>
      <c r="K759" s="4"/>
      <c r="L759" s="4"/>
      <c r="M759" s="4"/>
      <c r="N759" s="4"/>
      <c r="O759" s="4"/>
      <c r="P759" s="4"/>
    </row>
    <row r="760" spans="1:16" x14ac:dyDescent="0.25">
      <c r="A760" s="4" t="s">
        <v>262</v>
      </c>
      <c r="B760" s="3">
        <v>0.41319444444444442</v>
      </c>
      <c r="C760" s="3">
        <v>0.56736111111111109</v>
      </c>
      <c r="D760" s="3">
        <v>0.6118055555555556</v>
      </c>
      <c r="E760" s="3">
        <v>0.79166666666666663</v>
      </c>
      <c r="F760" s="4"/>
      <c r="G760" s="4"/>
      <c r="H760" s="3">
        <v>0.33333333333333331</v>
      </c>
      <c r="I760" s="3">
        <v>0.33333333333333331</v>
      </c>
      <c r="J760" s="4"/>
      <c r="K760" s="4"/>
      <c r="L760" s="4"/>
      <c r="M760" s="4"/>
      <c r="N760" s="4"/>
      <c r="O760" s="4"/>
      <c r="P760" s="4"/>
    </row>
    <row r="761" spans="1:16" x14ac:dyDescent="0.25">
      <c r="A761" s="4" t="s">
        <v>263</v>
      </c>
      <c r="B761" s="3">
        <v>0.41736111111111113</v>
      </c>
      <c r="C761" s="3">
        <v>0.55138888888888882</v>
      </c>
      <c r="D761" s="3">
        <v>0.59236111111111112</v>
      </c>
      <c r="E761" s="3">
        <v>0.83333333333333337</v>
      </c>
      <c r="F761" s="4"/>
      <c r="G761" s="4"/>
      <c r="H761" s="3">
        <v>0.375</v>
      </c>
      <c r="I761" s="3">
        <v>0.375</v>
      </c>
      <c r="J761" s="4"/>
      <c r="K761" s="4"/>
      <c r="L761" s="4"/>
      <c r="M761" s="4"/>
      <c r="N761" s="4"/>
      <c r="O761" s="4"/>
      <c r="P761" s="4"/>
    </row>
    <row r="762" spans="1:16" x14ac:dyDescent="0.25">
      <c r="A762" s="4" t="s">
        <v>264</v>
      </c>
      <c r="B762" s="3">
        <v>0.41250000000000003</v>
      </c>
      <c r="C762" s="3">
        <v>0.5229166666666667</v>
      </c>
      <c r="D762" s="3">
        <v>0.56597222222222221</v>
      </c>
      <c r="E762" s="3">
        <v>0.83333333333333337</v>
      </c>
      <c r="F762" s="4"/>
      <c r="G762" s="4"/>
      <c r="H762" s="3">
        <v>0.375</v>
      </c>
      <c r="I762" s="3">
        <v>0.375</v>
      </c>
      <c r="J762" s="4"/>
      <c r="K762" s="4"/>
      <c r="L762" s="4"/>
      <c r="M762" s="4"/>
      <c r="N762" s="4"/>
      <c r="O762" s="4"/>
      <c r="P762" s="4"/>
    </row>
    <row r="764" spans="1:16" x14ac:dyDescent="0.25">
      <c r="A764" s="7" t="s">
        <v>45</v>
      </c>
    </row>
    <row r="767" spans="1:16" x14ac:dyDescent="0.25">
      <c r="A767" s="7" t="s">
        <v>46</v>
      </c>
    </row>
    <row r="768" spans="1:16" x14ac:dyDescent="0.25">
      <c r="A768" s="7" t="s">
        <v>76</v>
      </c>
      <c r="F768" s="7" t="s">
        <v>47</v>
      </c>
    </row>
    <row r="769" spans="1:13" x14ac:dyDescent="0.25">
      <c r="F769" s="7"/>
    </row>
    <row r="773" spans="1:13" x14ac:dyDescent="0.25">
      <c r="G773" s="1" t="s">
        <v>18</v>
      </c>
    </row>
    <row r="774" spans="1:13" x14ac:dyDescent="0.25">
      <c r="A774" s="1" t="s">
        <v>1</v>
      </c>
      <c r="B774" t="s">
        <v>2</v>
      </c>
      <c r="H774" s="1" t="s">
        <v>19</v>
      </c>
      <c r="I774" s="1" t="s">
        <v>20</v>
      </c>
      <c r="J774" s="1" t="s">
        <v>21</v>
      </c>
      <c r="K774" s="1" t="s">
        <v>22</v>
      </c>
      <c r="L774" s="1" t="s">
        <v>23</v>
      </c>
      <c r="M774" s="1" t="s">
        <v>24</v>
      </c>
    </row>
    <row r="775" spans="1:13" x14ac:dyDescent="0.25">
      <c r="A775" s="1" t="s">
        <v>3</v>
      </c>
      <c r="B775" t="s">
        <v>4</v>
      </c>
      <c r="G775" s="1" t="s">
        <v>220</v>
      </c>
      <c r="H775" s="3">
        <v>0.54166666666666663</v>
      </c>
      <c r="I775" s="3">
        <v>0.79166666666666663</v>
      </c>
      <c r="J775" s="3">
        <v>0.83333333333333337</v>
      </c>
      <c r="K775" s="3">
        <v>0.91666666666666663</v>
      </c>
      <c r="L775" s="4"/>
      <c r="M775" s="4"/>
    </row>
    <row r="776" spans="1:13" x14ac:dyDescent="0.25">
      <c r="A776" s="1" t="s">
        <v>5</v>
      </c>
      <c r="B776" t="s">
        <v>6</v>
      </c>
      <c r="G776" s="1" t="s">
        <v>221</v>
      </c>
      <c r="H776" s="3">
        <v>0.5</v>
      </c>
      <c r="I776" s="3">
        <v>0.79166666666666663</v>
      </c>
      <c r="J776" s="3">
        <v>0.83333333333333337</v>
      </c>
      <c r="K776" s="3">
        <v>0.91666666666666663</v>
      </c>
      <c r="L776" s="4"/>
      <c r="M776" s="4"/>
    </row>
    <row r="777" spans="1:13" x14ac:dyDescent="0.25">
      <c r="G777" s="1" t="s">
        <v>222</v>
      </c>
      <c r="H777" s="3">
        <v>0.5</v>
      </c>
      <c r="I777" s="3">
        <v>0.79166666666666663</v>
      </c>
      <c r="J777" s="3">
        <v>0.83333333333333337</v>
      </c>
      <c r="K777" s="3">
        <v>0.91666666666666663</v>
      </c>
      <c r="L777" s="4"/>
      <c r="M777" s="4"/>
    </row>
    <row r="778" spans="1:13" x14ac:dyDescent="0.25">
      <c r="A778" s="1" t="s">
        <v>7</v>
      </c>
      <c r="B778" t="s">
        <v>78</v>
      </c>
      <c r="G778" s="1" t="s">
        <v>223</v>
      </c>
      <c r="H778" s="3">
        <v>0.5</v>
      </c>
      <c r="I778" s="3">
        <v>0.79166666666666663</v>
      </c>
      <c r="J778" s="3">
        <v>0.83333333333333337</v>
      </c>
      <c r="K778" s="3">
        <v>0.91666666666666663</v>
      </c>
      <c r="L778" s="4"/>
      <c r="M778" s="4"/>
    </row>
    <row r="779" spans="1:13" x14ac:dyDescent="0.25">
      <c r="A779" s="1" t="s">
        <v>9</v>
      </c>
      <c r="B779" t="s">
        <v>79</v>
      </c>
      <c r="D779" s="1" t="s">
        <v>11</v>
      </c>
      <c r="E779" t="s">
        <v>79</v>
      </c>
      <c r="G779" s="1" t="s">
        <v>224</v>
      </c>
      <c r="H779" s="3">
        <v>0.5</v>
      </c>
      <c r="I779" s="3">
        <v>0.79166666666666663</v>
      </c>
      <c r="J779" s="3">
        <v>0.83333333333333337</v>
      </c>
      <c r="K779" s="3">
        <v>0.91666666666666663</v>
      </c>
      <c r="L779" s="4"/>
      <c r="M779" s="4"/>
    </row>
    <row r="780" spans="1:13" x14ac:dyDescent="0.25">
      <c r="A780" s="1" t="s">
        <v>12</v>
      </c>
      <c r="D780" s="1" t="s">
        <v>13</v>
      </c>
      <c r="E780" s="2">
        <v>42278</v>
      </c>
      <c r="G780" s="1" t="s">
        <v>225</v>
      </c>
      <c r="H780" s="4" t="s">
        <v>25</v>
      </c>
      <c r="I780" s="4" t="s">
        <v>25</v>
      </c>
      <c r="J780" s="4" t="s">
        <v>25</v>
      </c>
      <c r="K780" s="4" t="s">
        <v>25</v>
      </c>
      <c r="L780" s="4" t="s">
        <v>25</v>
      </c>
      <c r="M780" s="4" t="s">
        <v>25</v>
      </c>
    </row>
    <row r="781" spans="1:13" x14ac:dyDescent="0.25">
      <c r="A781" s="1" t="s">
        <v>14</v>
      </c>
      <c r="B781" t="s">
        <v>58</v>
      </c>
      <c r="G781" s="1" t="s">
        <v>226</v>
      </c>
      <c r="H781" s="4" t="s">
        <v>25</v>
      </c>
      <c r="I781" s="4" t="s">
        <v>25</v>
      </c>
      <c r="J781" s="4" t="s">
        <v>25</v>
      </c>
      <c r="K781" s="4" t="s">
        <v>25</v>
      </c>
      <c r="L781" s="4" t="s">
        <v>25</v>
      </c>
      <c r="M781" s="4" t="s">
        <v>25</v>
      </c>
    </row>
    <row r="782" spans="1:13" x14ac:dyDescent="0.25">
      <c r="A782" s="1" t="s">
        <v>16</v>
      </c>
      <c r="B782" t="s">
        <v>17</v>
      </c>
    </row>
    <row r="785" spans="1:16" x14ac:dyDescent="0.25">
      <c r="A785" s="5" t="s">
        <v>26</v>
      </c>
      <c r="B785" s="5" t="s">
        <v>27</v>
      </c>
      <c r="C785" s="5" t="s">
        <v>28</v>
      </c>
      <c r="D785" s="5" t="s">
        <v>29</v>
      </c>
      <c r="E785" s="5" t="s">
        <v>30</v>
      </c>
      <c r="F785" s="5" t="s">
        <v>31</v>
      </c>
      <c r="G785" s="5" t="s">
        <v>32</v>
      </c>
      <c r="H785" s="5" t="s">
        <v>33</v>
      </c>
      <c r="I785" s="5" t="s">
        <v>34</v>
      </c>
      <c r="J785" s="5" t="s">
        <v>35</v>
      </c>
      <c r="K785" s="5" t="s">
        <v>36</v>
      </c>
      <c r="L785" s="5" t="s">
        <v>37</v>
      </c>
      <c r="M785" s="5" t="s">
        <v>38</v>
      </c>
      <c r="N785" s="5" t="s">
        <v>39</v>
      </c>
      <c r="O785" s="5" t="s">
        <v>40</v>
      </c>
      <c r="P785" s="5" t="s">
        <v>41</v>
      </c>
    </row>
    <row r="786" spans="1:16" x14ac:dyDescent="0.25">
      <c r="A786" s="4"/>
      <c r="B786" s="4"/>
      <c r="C786" s="4"/>
      <c r="D786" s="4"/>
      <c r="E786" s="4"/>
      <c r="F786" s="4"/>
      <c r="G786" s="4"/>
      <c r="H786" s="6">
        <v>8.0416666666666661</v>
      </c>
      <c r="I786" s="6">
        <v>8.0347222222222232</v>
      </c>
      <c r="J786" s="6">
        <v>1.3423611111111111</v>
      </c>
      <c r="K786" s="3">
        <v>0</v>
      </c>
      <c r="L786" s="3">
        <v>0</v>
      </c>
      <c r="M786" s="3">
        <v>0</v>
      </c>
      <c r="N786" s="3">
        <v>0</v>
      </c>
      <c r="O786" s="3">
        <v>6.9444444444444441E-3</v>
      </c>
      <c r="P786" s="3">
        <v>8.3333333333333332E-3</v>
      </c>
    </row>
    <row r="787" spans="1:16" x14ac:dyDescent="0.25">
      <c r="A787" s="4" t="s">
        <v>227</v>
      </c>
      <c r="B787" s="3">
        <v>0.3756944444444445</v>
      </c>
      <c r="C787" s="3">
        <v>0.57222222222222219</v>
      </c>
      <c r="D787" s="3">
        <v>0.61388888888888882</v>
      </c>
      <c r="E787" s="3">
        <v>0.75138888888888899</v>
      </c>
      <c r="F787" s="4"/>
      <c r="G787" s="4"/>
      <c r="H787" s="3">
        <v>0.33333333333333331</v>
      </c>
      <c r="I787" s="3">
        <v>0.33333333333333331</v>
      </c>
      <c r="J787" s="4"/>
      <c r="K787" s="4"/>
      <c r="L787" s="4"/>
      <c r="M787" s="4"/>
      <c r="N787" s="4"/>
      <c r="O787" s="4"/>
      <c r="P787" s="4"/>
    </row>
    <row r="788" spans="1:16" x14ac:dyDescent="0.25">
      <c r="A788" s="4" t="s">
        <v>228</v>
      </c>
      <c r="B788" s="3">
        <v>0.3756944444444445</v>
      </c>
      <c r="C788" s="3">
        <v>0.52013888888888882</v>
      </c>
      <c r="D788" s="3">
        <v>0.56111111111111112</v>
      </c>
      <c r="E788" s="3">
        <v>0.7944444444444444</v>
      </c>
      <c r="F788" s="4"/>
      <c r="G788" s="4"/>
      <c r="H788" s="3">
        <v>0.375</v>
      </c>
      <c r="I788" s="3">
        <v>0.375</v>
      </c>
      <c r="J788" s="4"/>
      <c r="K788" s="4"/>
      <c r="L788" s="4"/>
      <c r="M788" s="4"/>
      <c r="N788" s="4"/>
      <c r="O788" s="4"/>
      <c r="P788" s="4"/>
    </row>
    <row r="789" spans="1:16" x14ac:dyDescent="0.25">
      <c r="A789" s="4" t="s">
        <v>229</v>
      </c>
      <c r="B789" s="3">
        <v>0.3743055555555555</v>
      </c>
      <c r="C789" s="3">
        <v>0.57013888888888886</v>
      </c>
      <c r="D789" s="3">
        <v>0.61111111111111105</v>
      </c>
      <c r="E789" s="3">
        <v>0.79236111111111107</v>
      </c>
      <c r="F789" s="4"/>
      <c r="G789" s="4"/>
      <c r="H789" s="3">
        <v>0.375</v>
      </c>
      <c r="I789" s="3">
        <v>0.375</v>
      </c>
      <c r="J789" s="4"/>
      <c r="K789" s="4"/>
      <c r="L789" s="4"/>
      <c r="M789" s="4"/>
      <c r="N789" s="4"/>
      <c r="O789" s="4"/>
      <c r="P789" s="4"/>
    </row>
    <row r="790" spans="1:16" x14ac:dyDescent="0.25">
      <c r="A790" s="4" t="s">
        <v>230</v>
      </c>
      <c r="B790" s="3">
        <v>0.38055555555555554</v>
      </c>
      <c r="C790" s="3">
        <v>0.54999999999999993</v>
      </c>
      <c r="D790" s="3">
        <v>0.59166666666666667</v>
      </c>
      <c r="E790" s="3">
        <v>0.79722222222222217</v>
      </c>
      <c r="F790" s="4"/>
      <c r="G790" s="4"/>
      <c r="H790" s="3">
        <v>0.375</v>
      </c>
      <c r="I790" s="3">
        <v>0.375</v>
      </c>
      <c r="J790" s="4"/>
      <c r="K790" s="4"/>
      <c r="L790" s="4"/>
      <c r="M790" s="4"/>
      <c r="N790" s="4"/>
      <c r="O790" s="4"/>
      <c r="P790" s="4"/>
    </row>
    <row r="791" spans="1:16" x14ac:dyDescent="0.25">
      <c r="A791" s="4" t="s">
        <v>231</v>
      </c>
      <c r="B791" s="3">
        <v>0.3756944444444445</v>
      </c>
      <c r="C791" s="3">
        <v>0.55833333333333335</v>
      </c>
      <c r="D791" s="3">
        <v>0.59861111111111109</v>
      </c>
      <c r="E791" s="3">
        <v>0.79305555555555562</v>
      </c>
      <c r="F791" s="4"/>
      <c r="G791" s="4"/>
      <c r="H791" s="3">
        <v>0.375</v>
      </c>
      <c r="I791" s="3">
        <v>0.375</v>
      </c>
      <c r="J791" s="4"/>
      <c r="K791" s="4"/>
      <c r="L791" s="4"/>
      <c r="M791" s="4"/>
      <c r="N791" s="4"/>
      <c r="O791" s="4"/>
      <c r="P791" s="4"/>
    </row>
    <row r="792" spans="1:16" x14ac:dyDescent="0.25">
      <c r="A792" s="4" t="s">
        <v>232</v>
      </c>
      <c r="B792" s="4" t="s">
        <v>25</v>
      </c>
      <c r="C792" s="4" t="s">
        <v>25</v>
      </c>
      <c r="D792" s="4" t="s">
        <v>25</v>
      </c>
      <c r="E792" s="4" t="s">
        <v>25</v>
      </c>
      <c r="F792" s="4" t="s">
        <v>25</v>
      </c>
      <c r="G792" s="4" t="s">
        <v>25</v>
      </c>
      <c r="H792" s="4"/>
      <c r="I792" s="4"/>
      <c r="J792" s="4"/>
      <c r="K792" s="4"/>
      <c r="L792" s="4"/>
      <c r="M792" s="4"/>
      <c r="N792" s="4"/>
      <c r="O792" s="4"/>
      <c r="P792" s="4"/>
    </row>
    <row r="793" spans="1:16" x14ac:dyDescent="0.25">
      <c r="A793" s="4" t="s">
        <v>233</v>
      </c>
      <c r="B793" s="4" t="s">
        <v>25</v>
      </c>
      <c r="C793" s="4" t="s">
        <v>25</v>
      </c>
      <c r="D793" s="4" t="s">
        <v>25</v>
      </c>
      <c r="E793" s="4" t="s">
        <v>25</v>
      </c>
      <c r="F793" s="4" t="s">
        <v>25</v>
      </c>
      <c r="G793" s="4" t="s">
        <v>25</v>
      </c>
      <c r="H793" s="4"/>
      <c r="I793" s="4"/>
      <c r="J793" s="4"/>
      <c r="K793" s="4"/>
      <c r="L793" s="4"/>
      <c r="M793" s="4"/>
      <c r="N793" s="4"/>
      <c r="O793" s="4"/>
      <c r="P793" s="4"/>
    </row>
    <row r="794" spans="1:16" x14ac:dyDescent="0.25">
      <c r="A794" s="4" t="s">
        <v>234</v>
      </c>
      <c r="B794" s="3">
        <v>0.37708333333333338</v>
      </c>
      <c r="C794" s="3">
        <v>0.54861111111111105</v>
      </c>
      <c r="D794" s="3">
        <v>0.59097222222222223</v>
      </c>
      <c r="E794" s="3">
        <v>0.75277777777777777</v>
      </c>
      <c r="F794" s="4"/>
      <c r="G794" s="4"/>
      <c r="H794" s="3">
        <v>0.33333333333333331</v>
      </c>
      <c r="I794" s="3">
        <v>0.33333333333333331</v>
      </c>
      <c r="J794" s="4"/>
      <c r="K794" s="4"/>
      <c r="L794" s="4"/>
      <c r="M794" s="4"/>
      <c r="N794" s="4"/>
      <c r="O794" s="4"/>
      <c r="P794" s="4"/>
    </row>
    <row r="795" spans="1:16" x14ac:dyDescent="0.25">
      <c r="A795" s="4" t="s">
        <v>235</v>
      </c>
      <c r="B795" s="3">
        <v>0.37986111111111115</v>
      </c>
      <c r="C795" s="3">
        <v>0.55277777777777781</v>
      </c>
      <c r="D795" s="3">
        <v>0.59513888888888888</v>
      </c>
      <c r="E795" s="3">
        <v>0.79999999999999993</v>
      </c>
      <c r="F795" s="4"/>
      <c r="G795" s="4"/>
      <c r="H795" s="3">
        <v>0.375</v>
      </c>
      <c r="I795" s="3">
        <v>0.375</v>
      </c>
      <c r="J795" s="4"/>
      <c r="K795" s="4"/>
      <c r="L795" s="4"/>
      <c r="M795" s="4"/>
      <c r="N795" s="4"/>
      <c r="O795" s="4"/>
      <c r="P795" s="4"/>
    </row>
    <row r="796" spans="1:16" x14ac:dyDescent="0.25">
      <c r="A796" s="4" t="s">
        <v>236</v>
      </c>
      <c r="B796" s="3">
        <v>0.3840277777777778</v>
      </c>
      <c r="C796" s="3">
        <v>0.55625000000000002</v>
      </c>
      <c r="D796" s="3">
        <v>0.59652777777777777</v>
      </c>
      <c r="E796" s="3">
        <v>0.80138888888888893</v>
      </c>
      <c r="F796" s="4"/>
      <c r="G796" s="4"/>
      <c r="H796" s="3">
        <v>0.375</v>
      </c>
      <c r="I796" s="3">
        <v>0.375</v>
      </c>
      <c r="J796" s="4"/>
      <c r="K796" s="4"/>
      <c r="L796" s="4"/>
      <c r="M796" s="4"/>
      <c r="N796" s="4"/>
      <c r="O796" s="4"/>
      <c r="P796" s="4"/>
    </row>
    <row r="797" spans="1:16" x14ac:dyDescent="0.25">
      <c r="A797" s="4" t="s">
        <v>237</v>
      </c>
      <c r="B797" s="3">
        <v>0.39861111111111108</v>
      </c>
      <c r="C797" s="3">
        <v>0.57430555555555551</v>
      </c>
      <c r="D797" s="3">
        <v>0.61597222222222225</v>
      </c>
      <c r="E797" s="3">
        <v>0.81666666666666676</v>
      </c>
      <c r="F797" s="4"/>
      <c r="G797" s="4"/>
      <c r="H797" s="3">
        <v>0.375</v>
      </c>
      <c r="I797" s="3">
        <v>0.375</v>
      </c>
      <c r="J797" s="4"/>
      <c r="K797" s="4"/>
      <c r="L797" s="4"/>
      <c r="M797" s="4"/>
      <c r="N797" s="4"/>
      <c r="O797" s="4"/>
      <c r="P797" s="4"/>
    </row>
    <row r="798" spans="1:16" x14ac:dyDescent="0.25">
      <c r="A798" s="4" t="s">
        <v>238</v>
      </c>
      <c r="B798" s="3">
        <v>0.3756944444444445</v>
      </c>
      <c r="C798" s="3">
        <v>0.56874999999999998</v>
      </c>
      <c r="D798" s="3">
        <v>0.60833333333333328</v>
      </c>
      <c r="E798" s="3">
        <v>0.79236111111111107</v>
      </c>
      <c r="F798" s="4"/>
      <c r="G798" s="4"/>
      <c r="H798" s="3">
        <v>0.375</v>
      </c>
      <c r="I798" s="3">
        <v>0.375</v>
      </c>
      <c r="J798" s="4"/>
      <c r="K798" s="4"/>
      <c r="L798" s="4"/>
      <c r="M798" s="4"/>
      <c r="N798" s="4"/>
      <c r="O798" s="4"/>
      <c r="P798" s="4"/>
    </row>
    <row r="799" spans="1:16" x14ac:dyDescent="0.25">
      <c r="A799" s="4" t="s">
        <v>239</v>
      </c>
      <c r="B799" s="4" t="s">
        <v>25</v>
      </c>
      <c r="C799" s="4" t="s">
        <v>25</v>
      </c>
      <c r="D799" s="4" t="s">
        <v>25</v>
      </c>
      <c r="E799" s="4" t="s">
        <v>25</v>
      </c>
      <c r="F799" s="4" t="s">
        <v>25</v>
      </c>
      <c r="G799" s="4" t="s">
        <v>25</v>
      </c>
      <c r="H799" s="4"/>
      <c r="I799" s="4"/>
      <c r="J799" s="4"/>
      <c r="K799" s="4"/>
      <c r="L799" s="4"/>
      <c r="M799" s="4"/>
      <c r="N799" s="4"/>
      <c r="O799" s="4"/>
      <c r="P799" s="4"/>
    </row>
    <row r="800" spans="1:16" x14ac:dyDescent="0.25">
      <c r="A800" s="4" t="s">
        <v>240</v>
      </c>
      <c r="B800" s="4" t="s">
        <v>25</v>
      </c>
      <c r="C800" s="4" t="s">
        <v>25</v>
      </c>
      <c r="D800" s="4" t="s">
        <v>25</v>
      </c>
      <c r="E800" s="4" t="s">
        <v>25</v>
      </c>
      <c r="F800" s="4" t="s">
        <v>25</v>
      </c>
      <c r="G800" s="4" t="s">
        <v>25</v>
      </c>
      <c r="H800" s="4"/>
      <c r="I800" s="4"/>
      <c r="J800" s="4"/>
      <c r="K800" s="4"/>
      <c r="L800" s="4"/>
      <c r="M800" s="4"/>
      <c r="N800" s="4"/>
      <c r="O800" s="4"/>
      <c r="P800" s="4"/>
    </row>
    <row r="801" spans="1:16" x14ac:dyDescent="0.25">
      <c r="A801" s="4" t="s">
        <v>241</v>
      </c>
      <c r="B801" s="3">
        <v>0.53888888888888886</v>
      </c>
      <c r="C801" s="3">
        <v>0.57013888888888886</v>
      </c>
      <c r="D801" s="3">
        <v>0.61111111111111105</v>
      </c>
      <c r="E801" s="3">
        <v>0.9159722222222223</v>
      </c>
      <c r="F801" s="4"/>
      <c r="G801" s="4"/>
      <c r="H801" s="3">
        <v>0.33333333333333331</v>
      </c>
      <c r="I801" s="3">
        <v>0.33333333333333331</v>
      </c>
      <c r="J801" s="4"/>
      <c r="K801" s="4"/>
      <c r="L801" s="4"/>
      <c r="M801" s="4"/>
      <c r="N801" s="4"/>
      <c r="O801" s="4"/>
      <c r="P801" s="4"/>
    </row>
    <row r="802" spans="1:16" x14ac:dyDescent="0.25">
      <c r="A802" s="4" t="s">
        <v>242</v>
      </c>
      <c r="B802" s="3">
        <v>0.37708333333333338</v>
      </c>
      <c r="C802" s="3">
        <v>0.55694444444444446</v>
      </c>
      <c r="D802" s="3">
        <v>0.6020833333333333</v>
      </c>
      <c r="E802" s="3">
        <v>0.79791666666666661</v>
      </c>
      <c r="F802" s="4"/>
      <c r="G802" s="4"/>
      <c r="H802" s="3">
        <v>0.375</v>
      </c>
      <c r="I802" s="3">
        <v>0.375</v>
      </c>
      <c r="J802" s="4"/>
      <c r="K802" s="4"/>
      <c r="L802" s="4"/>
      <c r="M802" s="4"/>
      <c r="N802" s="4"/>
      <c r="O802" s="4"/>
      <c r="P802" s="4"/>
    </row>
    <row r="803" spans="1:16" x14ac:dyDescent="0.25">
      <c r="A803" s="4" t="s">
        <v>243</v>
      </c>
      <c r="B803" s="3">
        <v>0.38958333333333334</v>
      </c>
      <c r="C803" s="3">
        <v>0.56458333333333333</v>
      </c>
      <c r="D803" s="3">
        <v>0.60555555555555551</v>
      </c>
      <c r="E803" s="3">
        <v>0.80833333333333324</v>
      </c>
      <c r="F803" s="4"/>
      <c r="G803" s="4"/>
      <c r="H803" s="3">
        <v>0.375</v>
      </c>
      <c r="I803" s="3">
        <v>0.375</v>
      </c>
      <c r="J803" s="4"/>
      <c r="K803" s="4"/>
      <c r="L803" s="4"/>
      <c r="M803" s="4"/>
      <c r="N803" s="4"/>
      <c r="O803" s="4"/>
      <c r="P803" s="4"/>
    </row>
    <row r="804" spans="1:16" x14ac:dyDescent="0.25">
      <c r="A804" s="4" t="s">
        <v>244</v>
      </c>
      <c r="B804" s="4" t="s">
        <v>265</v>
      </c>
      <c r="C804" s="4" t="s">
        <v>265</v>
      </c>
      <c r="D804" s="4" t="s">
        <v>265</v>
      </c>
      <c r="E804" s="4" t="s">
        <v>265</v>
      </c>
      <c r="F804" s="4" t="s">
        <v>265</v>
      </c>
      <c r="G804" s="4" t="s">
        <v>265</v>
      </c>
      <c r="H804" s="4"/>
      <c r="I804" s="4"/>
      <c r="J804" s="4"/>
      <c r="K804" s="4"/>
      <c r="L804" s="4"/>
      <c r="M804" s="4"/>
      <c r="N804" s="4"/>
      <c r="O804" s="4"/>
      <c r="P804" s="4"/>
    </row>
    <row r="805" spans="1:16" x14ac:dyDescent="0.25">
      <c r="A805" s="4" t="s">
        <v>245</v>
      </c>
      <c r="B805" s="4" t="s">
        <v>52</v>
      </c>
      <c r="C805" s="4" t="s">
        <v>52</v>
      </c>
      <c r="D805" s="4" t="s">
        <v>52</v>
      </c>
      <c r="E805" s="4" t="s">
        <v>52</v>
      </c>
      <c r="F805" s="4"/>
      <c r="G805" s="4"/>
      <c r="H805" s="3">
        <v>0.375</v>
      </c>
      <c r="I805" s="3">
        <v>0.375</v>
      </c>
      <c r="J805" s="3">
        <v>0.375</v>
      </c>
      <c r="K805" s="4"/>
      <c r="L805" s="4"/>
      <c r="M805" s="4"/>
      <c r="N805" s="4"/>
      <c r="O805" s="4"/>
      <c r="P805" s="4"/>
    </row>
    <row r="806" spans="1:16" x14ac:dyDescent="0.25">
      <c r="A806" s="4" t="s">
        <v>246</v>
      </c>
      <c r="B806" s="4" t="s">
        <v>25</v>
      </c>
      <c r="C806" s="4" t="s">
        <v>25</v>
      </c>
      <c r="D806" s="4" t="s">
        <v>25</v>
      </c>
      <c r="E806" s="4" t="s">
        <v>25</v>
      </c>
      <c r="F806" s="4" t="s">
        <v>25</v>
      </c>
      <c r="G806" s="4" t="s">
        <v>25</v>
      </c>
      <c r="H806" s="4"/>
      <c r="I806" s="4"/>
      <c r="J806" s="4"/>
      <c r="K806" s="4"/>
      <c r="L806" s="4"/>
      <c r="M806" s="4"/>
      <c r="N806" s="4"/>
      <c r="O806" s="4"/>
      <c r="P806" s="4"/>
    </row>
    <row r="807" spans="1:16" x14ac:dyDescent="0.25">
      <c r="A807" s="4" t="s">
        <v>247</v>
      </c>
      <c r="B807" s="4" t="s">
        <v>25</v>
      </c>
      <c r="C807" s="4" t="s">
        <v>25</v>
      </c>
      <c r="D807" s="4" t="s">
        <v>25</v>
      </c>
      <c r="E807" s="4" t="s">
        <v>25</v>
      </c>
      <c r="F807" s="4" t="s">
        <v>25</v>
      </c>
      <c r="G807" s="4" t="s">
        <v>25</v>
      </c>
      <c r="H807" s="4"/>
      <c r="I807" s="4"/>
      <c r="J807" s="4"/>
      <c r="K807" s="4"/>
      <c r="L807" s="4"/>
      <c r="M807" s="4"/>
      <c r="N807" s="4"/>
      <c r="O807" s="4"/>
      <c r="P807" s="4"/>
    </row>
    <row r="808" spans="1:16" x14ac:dyDescent="0.25">
      <c r="A808" s="4" t="s">
        <v>248</v>
      </c>
      <c r="B808" s="3">
        <v>0.38055555555555554</v>
      </c>
      <c r="C808" s="3">
        <v>0.5541666666666667</v>
      </c>
      <c r="D808" s="3">
        <v>0.59652777777777777</v>
      </c>
      <c r="E808" s="3">
        <v>0.75694444444444453</v>
      </c>
      <c r="F808" s="4"/>
      <c r="G808" s="4"/>
      <c r="H808" s="3">
        <v>0.33333333333333331</v>
      </c>
      <c r="I808" s="3">
        <v>0.33333333333333331</v>
      </c>
      <c r="J808" s="4"/>
      <c r="K808" s="4"/>
      <c r="L808" s="4"/>
      <c r="M808" s="4"/>
      <c r="N808" s="4"/>
      <c r="O808" s="4"/>
      <c r="P808" s="4"/>
    </row>
    <row r="809" spans="1:16" x14ac:dyDescent="0.25">
      <c r="A809" s="4" t="s">
        <v>249</v>
      </c>
      <c r="B809" s="3">
        <v>0.39861111111111108</v>
      </c>
      <c r="C809" s="3">
        <v>0.55625000000000002</v>
      </c>
      <c r="D809" s="3">
        <v>0.58680555555555558</v>
      </c>
      <c r="E809" s="4" t="s">
        <v>52</v>
      </c>
      <c r="F809" s="4"/>
      <c r="G809" s="4"/>
      <c r="H809" s="3">
        <v>0.375</v>
      </c>
      <c r="I809" s="3">
        <v>0.375</v>
      </c>
      <c r="J809" s="3">
        <v>0.21736111111111112</v>
      </c>
      <c r="K809" s="4"/>
      <c r="L809" s="4"/>
      <c r="M809" s="4"/>
      <c r="N809" s="4"/>
      <c r="O809" s="4"/>
      <c r="P809" s="4"/>
    </row>
    <row r="810" spans="1:16" x14ac:dyDescent="0.25">
      <c r="A810" s="4" t="s">
        <v>251</v>
      </c>
      <c r="B810" s="4" t="s">
        <v>52</v>
      </c>
      <c r="C810" s="4" t="s">
        <v>52</v>
      </c>
      <c r="D810" s="4" t="s">
        <v>52</v>
      </c>
      <c r="E810" s="4" t="s">
        <v>52</v>
      </c>
      <c r="F810" s="4"/>
      <c r="G810" s="4"/>
      <c r="H810" s="3">
        <v>0.375</v>
      </c>
      <c r="I810" s="3">
        <v>0.375</v>
      </c>
      <c r="J810" s="3">
        <v>0.375</v>
      </c>
      <c r="K810" s="4"/>
      <c r="L810" s="4"/>
      <c r="M810" s="4"/>
      <c r="N810" s="4"/>
      <c r="O810" s="4"/>
      <c r="P810" s="4"/>
    </row>
    <row r="811" spans="1:16" x14ac:dyDescent="0.25">
      <c r="A811" s="4" t="s">
        <v>256</v>
      </c>
      <c r="B811" s="4" t="s">
        <v>52</v>
      </c>
      <c r="C811" s="4" t="s">
        <v>52</v>
      </c>
      <c r="D811" s="4" t="s">
        <v>52</v>
      </c>
      <c r="E811" s="4" t="s">
        <v>52</v>
      </c>
      <c r="F811" s="4"/>
      <c r="G811" s="4"/>
      <c r="H811" s="3">
        <v>0.375</v>
      </c>
      <c r="I811" s="3">
        <v>0.375</v>
      </c>
      <c r="J811" s="3">
        <v>0.375</v>
      </c>
      <c r="K811" s="4"/>
      <c r="L811" s="4"/>
      <c r="M811" s="4"/>
      <c r="N811" s="4"/>
      <c r="O811" s="4"/>
      <c r="P811" s="4"/>
    </row>
    <row r="812" spans="1:16" x14ac:dyDescent="0.25">
      <c r="A812" s="4" t="s">
        <v>259</v>
      </c>
      <c r="B812" s="3">
        <v>0.3833333333333333</v>
      </c>
      <c r="C812" s="3">
        <v>0.55486111111111114</v>
      </c>
      <c r="D812" s="3">
        <v>0.60277777777777775</v>
      </c>
      <c r="E812" s="3">
        <v>0.81458333333333333</v>
      </c>
      <c r="F812" s="4"/>
      <c r="G812" s="4"/>
      <c r="H812" s="3">
        <v>0.375</v>
      </c>
      <c r="I812" s="3">
        <v>0.375</v>
      </c>
      <c r="J812" s="4"/>
      <c r="K812" s="4"/>
      <c r="L812" s="4"/>
      <c r="M812" s="4"/>
      <c r="N812" s="4"/>
      <c r="O812" s="4"/>
      <c r="P812" s="3">
        <v>8.3333333333333332E-3</v>
      </c>
    </row>
    <row r="813" spans="1:16" x14ac:dyDescent="0.25">
      <c r="A813" s="4" t="s">
        <v>260</v>
      </c>
      <c r="B813" s="4" t="s">
        <v>25</v>
      </c>
      <c r="C813" s="4" t="s">
        <v>25</v>
      </c>
      <c r="D813" s="4" t="s">
        <v>25</v>
      </c>
      <c r="E813" s="4" t="s">
        <v>25</v>
      </c>
      <c r="F813" s="4" t="s">
        <v>25</v>
      </c>
      <c r="G813" s="4" t="s">
        <v>25</v>
      </c>
      <c r="H813" s="4"/>
      <c r="I813" s="4"/>
      <c r="J813" s="4"/>
      <c r="K813" s="4"/>
      <c r="L813" s="4"/>
      <c r="M813" s="4"/>
      <c r="N813" s="4"/>
      <c r="O813" s="4"/>
      <c r="P813" s="4"/>
    </row>
    <row r="814" spans="1:16" x14ac:dyDescent="0.25">
      <c r="A814" s="4" t="s">
        <v>261</v>
      </c>
      <c r="B814" s="4" t="s">
        <v>25</v>
      </c>
      <c r="C814" s="4" t="s">
        <v>25</v>
      </c>
      <c r="D814" s="4" t="s">
        <v>25</v>
      </c>
      <c r="E814" s="4" t="s">
        <v>25</v>
      </c>
      <c r="F814" s="4" t="s">
        <v>25</v>
      </c>
      <c r="G814" s="4" t="s">
        <v>25</v>
      </c>
      <c r="H814" s="4"/>
      <c r="I814" s="4"/>
      <c r="J814" s="4"/>
      <c r="K814" s="4"/>
      <c r="L814" s="4"/>
      <c r="M814" s="4"/>
      <c r="N814" s="4"/>
      <c r="O814" s="4"/>
      <c r="P814" s="4"/>
    </row>
    <row r="815" spans="1:16" x14ac:dyDescent="0.25">
      <c r="A815" s="4" t="s">
        <v>262</v>
      </c>
      <c r="B815" s="3">
        <v>0.37777777777777777</v>
      </c>
      <c r="C815" s="3">
        <v>0.57222222222222219</v>
      </c>
      <c r="D815" s="3">
        <v>0.6118055555555556</v>
      </c>
      <c r="E815" s="3">
        <v>0.75069444444444444</v>
      </c>
      <c r="F815" s="4"/>
      <c r="G815" s="4"/>
      <c r="H815" s="3">
        <v>0.33333333333333331</v>
      </c>
      <c r="I815" s="3">
        <v>0.33333333333333331</v>
      </c>
      <c r="J815" s="4"/>
      <c r="K815" s="4"/>
      <c r="L815" s="4"/>
      <c r="M815" s="4"/>
      <c r="N815" s="4"/>
      <c r="O815" s="4"/>
      <c r="P815" s="4"/>
    </row>
    <row r="816" spans="1:16" x14ac:dyDescent="0.25">
      <c r="A816" s="4" t="s">
        <v>263</v>
      </c>
      <c r="B816" s="3">
        <v>0.38611111111111113</v>
      </c>
      <c r="C816" s="3">
        <v>0.50277777777777777</v>
      </c>
      <c r="D816" s="3">
        <v>0.55138888888888882</v>
      </c>
      <c r="E816" s="3">
        <v>0.8027777777777777</v>
      </c>
      <c r="F816" s="4"/>
      <c r="G816" s="4"/>
      <c r="H816" s="3">
        <v>0.375</v>
      </c>
      <c r="I816" s="3">
        <v>0.36805555555555558</v>
      </c>
      <c r="J816" s="4"/>
      <c r="K816" s="4"/>
      <c r="L816" s="4"/>
      <c r="M816" s="4"/>
      <c r="N816" s="4"/>
      <c r="O816" s="3">
        <v>6.9444444444444441E-3</v>
      </c>
      <c r="P816" s="4"/>
    </row>
    <row r="817" spans="1:16" x14ac:dyDescent="0.25">
      <c r="A817" s="4" t="s">
        <v>264</v>
      </c>
      <c r="B817" s="3">
        <v>0.3756944444444445</v>
      </c>
      <c r="C817" s="3">
        <v>0.56874999999999998</v>
      </c>
      <c r="D817" s="3">
        <v>0.61319444444444449</v>
      </c>
      <c r="E817" s="3">
        <v>0.79513888888888884</v>
      </c>
      <c r="F817" s="4"/>
      <c r="G817" s="4"/>
      <c r="H817" s="3">
        <v>0.375</v>
      </c>
      <c r="I817" s="3">
        <v>0.375</v>
      </c>
      <c r="J817" s="4"/>
      <c r="K817" s="4"/>
      <c r="L817" s="4"/>
      <c r="M817" s="4"/>
      <c r="N817" s="4"/>
      <c r="O817" s="4"/>
      <c r="P817" s="4"/>
    </row>
    <row r="819" spans="1:16" x14ac:dyDescent="0.25">
      <c r="A819" s="7" t="s">
        <v>45</v>
      </c>
    </row>
    <row r="822" spans="1:16" x14ac:dyDescent="0.25">
      <c r="A822" s="7" t="s">
        <v>46</v>
      </c>
    </row>
    <row r="823" spans="1:16" x14ac:dyDescent="0.25">
      <c r="A823" s="7" t="s">
        <v>78</v>
      </c>
      <c r="F823" s="7" t="s">
        <v>47</v>
      </c>
    </row>
    <row r="824" spans="1:16" x14ac:dyDescent="0.25">
      <c r="F824" s="7"/>
    </row>
    <row r="828" spans="1:16" x14ac:dyDescent="0.25">
      <c r="G828" s="1" t="s">
        <v>18</v>
      </c>
    </row>
    <row r="829" spans="1:16" x14ac:dyDescent="0.25">
      <c r="A829" s="1" t="s">
        <v>1</v>
      </c>
      <c r="B829" t="s">
        <v>2</v>
      </c>
      <c r="H829" s="1" t="s">
        <v>19</v>
      </c>
      <c r="I829" s="1" t="s">
        <v>20</v>
      </c>
      <c r="J829" s="1" t="s">
        <v>21</v>
      </c>
      <c r="K829" s="1" t="s">
        <v>22</v>
      </c>
      <c r="L829" s="1" t="s">
        <v>23</v>
      </c>
      <c r="M829" s="1" t="s">
        <v>24</v>
      </c>
    </row>
    <row r="830" spans="1:16" x14ac:dyDescent="0.25">
      <c r="A830" s="1" t="s">
        <v>3</v>
      </c>
      <c r="B830" t="s">
        <v>4</v>
      </c>
      <c r="G830" s="1" t="s">
        <v>220</v>
      </c>
      <c r="H830" s="4" t="s">
        <v>25</v>
      </c>
      <c r="I830" s="4" t="s">
        <v>25</v>
      </c>
      <c r="J830" s="4" t="s">
        <v>25</v>
      </c>
      <c r="K830" s="4" t="s">
        <v>25</v>
      </c>
      <c r="L830" s="4" t="s">
        <v>25</v>
      </c>
      <c r="M830" s="4" t="s">
        <v>25</v>
      </c>
    </row>
    <row r="831" spans="1:16" x14ac:dyDescent="0.25">
      <c r="A831" s="1" t="s">
        <v>5</v>
      </c>
      <c r="B831" t="s">
        <v>6</v>
      </c>
      <c r="G831" s="1" t="s">
        <v>221</v>
      </c>
      <c r="H831" s="3">
        <v>0.41666666666666669</v>
      </c>
      <c r="I831" s="3">
        <v>0.58333333333333337</v>
      </c>
      <c r="J831" s="3">
        <v>0.625</v>
      </c>
      <c r="K831" s="3">
        <v>0.83333333333333337</v>
      </c>
      <c r="L831" s="4"/>
      <c r="M831" s="4"/>
    </row>
    <row r="832" spans="1:16" x14ac:dyDescent="0.25">
      <c r="G832" s="1" t="s">
        <v>222</v>
      </c>
      <c r="H832" s="3">
        <v>0.41666666666666669</v>
      </c>
      <c r="I832" s="3">
        <v>0.58333333333333337</v>
      </c>
      <c r="J832" s="3">
        <v>0.625</v>
      </c>
      <c r="K832" s="3">
        <v>0.83333333333333337</v>
      </c>
      <c r="L832" s="4"/>
      <c r="M832" s="4"/>
    </row>
    <row r="833" spans="1:16" x14ac:dyDescent="0.25">
      <c r="A833" s="1" t="s">
        <v>7</v>
      </c>
      <c r="B833" t="s">
        <v>80</v>
      </c>
      <c r="G833" s="1" t="s">
        <v>223</v>
      </c>
      <c r="H833" s="3">
        <v>0.41666666666666669</v>
      </c>
      <c r="I833" s="3">
        <v>0.58333333333333337</v>
      </c>
      <c r="J833" s="3">
        <v>0.625</v>
      </c>
      <c r="K833" s="3">
        <v>0.83333333333333337</v>
      </c>
      <c r="L833" s="4"/>
      <c r="M833" s="4"/>
    </row>
    <row r="834" spans="1:16" x14ac:dyDescent="0.25">
      <c r="A834" s="1" t="s">
        <v>9</v>
      </c>
      <c r="B834" t="s">
        <v>81</v>
      </c>
      <c r="D834" s="1" t="s">
        <v>11</v>
      </c>
      <c r="E834" t="s">
        <v>81</v>
      </c>
      <c r="G834" s="1" t="s">
        <v>224</v>
      </c>
      <c r="H834" s="3">
        <v>0.41666666666666669</v>
      </c>
      <c r="I834" s="3">
        <v>0.58333333333333337</v>
      </c>
      <c r="J834" s="3">
        <v>0.625</v>
      </c>
      <c r="K834" s="3">
        <v>0.83333333333333337</v>
      </c>
      <c r="L834" s="4"/>
      <c r="M834" s="4"/>
    </row>
    <row r="835" spans="1:16" x14ac:dyDescent="0.25">
      <c r="A835" s="1" t="s">
        <v>12</v>
      </c>
      <c r="D835" s="1" t="s">
        <v>13</v>
      </c>
      <c r="E835" s="2">
        <v>42506</v>
      </c>
      <c r="G835" s="1" t="s">
        <v>225</v>
      </c>
      <c r="H835" s="3">
        <v>0.33333333333333331</v>
      </c>
      <c r="I835" s="3">
        <v>0.5</v>
      </c>
      <c r="J835" s="3">
        <v>0.54166666666666663</v>
      </c>
      <c r="K835" s="3">
        <v>0.70833333333333337</v>
      </c>
      <c r="L835" s="4"/>
      <c r="M835" s="4"/>
    </row>
    <row r="836" spans="1:16" x14ac:dyDescent="0.25">
      <c r="A836" s="1" t="s">
        <v>14</v>
      </c>
      <c r="B836" t="s">
        <v>58</v>
      </c>
      <c r="G836" s="1" t="s">
        <v>226</v>
      </c>
      <c r="H836" s="4" t="s">
        <v>25</v>
      </c>
      <c r="I836" s="4" t="s">
        <v>25</v>
      </c>
      <c r="J836" s="4" t="s">
        <v>25</v>
      </c>
      <c r="K836" s="4" t="s">
        <v>25</v>
      </c>
      <c r="L836" s="4" t="s">
        <v>25</v>
      </c>
      <c r="M836" s="4" t="s">
        <v>25</v>
      </c>
    </row>
    <row r="837" spans="1:16" x14ac:dyDescent="0.25">
      <c r="A837" s="1" t="s">
        <v>16</v>
      </c>
      <c r="B837" t="s">
        <v>17</v>
      </c>
    </row>
    <row r="840" spans="1:16" x14ac:dyDescent="0.25">
      <c r="A840" s="5" t="s">
        <v>26</v>
      </c>
      <c r="B840" s="5" t="s">
        <v>27</v>
      </c>
      <c r="C840" s="5" t="s">
        <v>28</v>
      </c>
      <c r="D840" s="5" t="s">
        <v>29</v>
      </c>
      <c r="E840" s="5" t="s">
        <v>30</v>
      </c>
      <c r="F840" s="5" t="s">
        <v>31</v>
      </c>
      <c r="G840" s="5" t="s">
        <v>32</v>
      </c>
      <c r="H840" s="5" t="s">
        <v>33</v>
      </c>
      <c r="I840" s="5" t="s">
        <v>34</v>
      </c>
      <c r="J840" s="5" t="s">
        <v>35</v>
      </c>
      <c r="K840" s="5" t="s">
        <v>36</v>
      </c>
      <c r="L840" s="5" t="s">
        <v>37</v>
      </c>
      <c r="M840" s="5" t="s">
        <v>38</v>
      </c>
      <c r="N840" s="5" t="s">
        <v>39</v>
      </c>
      <c r="O840" s="5" t="s">
        <v>40</v>
      </c>
      <c r="P840" s="5" t="s">
        <v>41</v>
      </c>
    </row>
    <row r="841" spans="1:16" x14ac:dyDescent="0.25">
      <c r="A841" s="4"/>
      <c r="B841" s="4"/>
      <c r="C841" s="4"/>
      <c r="D841" s="4"/>
      <c r="E841" s="4"/>
      <c r="F841" s="4"/>
      <c r="G841" s="4"/>
      <c r="H841" s="6">
        <v>7.708333333333333</v>
      </c>
      <c r="I841" s="6">
        <v>7.708333333333333</v>
      </c>
      <c r="J841" s="6">
        <v>3.625</v>
      </c>
      <c r="K841" s="3">
        <v>0</v>
      </c>
      <c r="L841" s="3">
        <v>0.91666666666666663</v>
      </c>
      <c r="M841" s="3">
        <v>0</v>
      </c>
      <c r="N841" s="3">
        <v>6.9444444444444447E-4</v>
      </c>
      <c r="O841" s="3">
        <v>0</v>
      </c>
      <c r="P841" s="3">
        <v>0.34861111111111115</v>
      </c>
    </row>
    <row r="842" spans="1:16" x14ac:dyDescent="0.25">
      <c r="A842" s="4" t="s">
        <v>227</v>
      </c>
      <c r="B842" s="4" t="s">
        <v>25</v>
      </c>
      <c r="C842" s="4" t="s">
        <v>25</v>
      </c>
      <c r="D842" s="4" t="s">
        <v>25</v>
      </c>
      <c r="E842" s="4" t="s">
        <v>25</v>
      </c>
      <c r="F842" s="4" t="s">
        <v>25</v>
      </c>
      <c r="G842" s="4" t="s">
        <v>25</v>
      </c>
      <c r="H842" s="4"/>
      <c r="I842" s="4"/>
      <c r="J842" s="4"/>
      <c r="K842" s="4"/>
      <c r="L842" s="4"/>
      <c r="M842" s="4"/>
      <c r="N842" s="4"/>
      <c r="O842" s="4"/>
      <c r="P842" s="4"/>
    </row>
    <row r="843" spans="1:16" x14ac:dyDescent="0.25">
      <c r="A843" s="4" t="s">
        <v>228</v>
      </c>
      <c r="B843" s="3">
        <v>0.40972222222222227</v>
      </c>
      <c r="C843" s="3">
        <v>0.62638888888888888</v>
      </c>
      <c r="D843" s="3">
        <v>0.66666666666666663</v>
      </c>
      <c r="E843" s="3">
        <v>0.83333333333333337</v>
      </c>
      <c r="F843" s="4"/>
      <c r="G843" s="4"/>
      <c r="H843" s="3">
        <v>0.375</v>
      </c>
      <c r="I843" s="3">
        <v>0.375</v>
      </c>
      <c r="J843" s="4"/>
      <c r="K843" s="4"/>
      <c r="L843" s="4"/>
      <c r="M843" s="4"/>
      <c r="N843" s="4"/>
      <c r="O843" s="4"/>
      <c r="P843" s="3">
        <v>8.3333333333333332E-3</v>
      </c>
    </row>
    <row r="844" spans="1:16" x14ac:dyDescent="0.25">
      <c r="A844" s="4" t="s">
        <v>229</v>
      </c>
      <c r="B844" s="3">
        <v>0.41041666666666665</v>
      </c>
      <c r="C844" s="3">
        <v>0.55972222222222223</v>
      </c>
      <c r="D844" s="3">
        <v>0.60138888888888886</v>
      </c>
      <c r="E844" s="3">
        <v>0.83333333333333337</v>
      </c>
      <c r="F844" s="4"/>
      <c r="G844" s="4"/>
      <c r="H844" s="3">
        <v>0.375</v>
      </c>
      <c r="I844" s="3">
        <v>0.375</v>
      </c>
      <c r="J844" s="4"/>
      <c r="K844" s="4"/>
      <c r="L844" s="4"/>
      <c r="M844" s="4"/>
      <c r="N844" s="4"/>
      <c r="O844" s="4"/>
      <c r="P844" s="4"/>
    </row>
    <row r="845" spans="1:16" x14ac:dyDescent="0.25">
      <c r="A845" s="4" t="s">
        <v>230</v>
      </c>
      <c r="B845" s="3">
        <v>0.41666666666666669</v>
      </c>
      <c r="C845" s="3">
        <v>0.57847222222222217</v>
      </c>
      <c r="D845" s="3">
        <v>0.62013888888888891</v>
      </c>
      <c r="E845" s="3">
        <v>0.8340277777777777</v>
      </c>
      <c r="F845" s="4"/>
      <c r="G845" s="4"/>
      <c r="H845" s="3">
        <v>0.375</v>
      </c>
      <c r="I845" s="3">
        <v>0.375</v>
      </c>
      <c r="J845" s="4"/>
      <c r="K845" s="4"/>
      <c r="L845" s="4"/>
      <c r="M845" s="4"/>
      <c r="N845" s="4"/>
      <c r="O845" s="4"/>
      <c r="P845" s="4"/>
    </row>
    <row r="846" spans="1:16" x14ac:dyDescent="0.25">
      <c r="A846" s="4" t="s">
        <v>231</v>
      </c>
      <c r="B846" s="3">
        <v>0.5</v>
      </c>
      <c r="C846" s="3">
        <v>0.77847222222222223</v>
      </c>
      <c r="D846" s="3">
        <v>0.82013888888888886</v>
      </c>
      <c r="E846" s="3">
        <v>0.91736111111111107</v>
      </c>
      <c r="F846" s="4"/>
      <c r="G846" s="4"/>
      <c r="H846" s="3">
        <v>0.375</v>
      </c>
      <c r="I846" s="3">
        <v>0.375</v>
      </c>
      <c r="J846" s="4"/>
      <c r="K846" s="4"/>
      <c r="L846" s="4"/>
      <c r="M846" s="4"/>
      <c r="N846" s="3">
        <v>6.9444444444444447E-4</v>
      </c>
      <c r="O846" s="4"/>
      <c r="P846" s="4"/>
    </row>
    <row r="847" spans="1:16" x14ac:dyDescent="0.25">
      <c r="A847" s="4" t="s">
        <v>232</v>
      </c>
      <c r="B847" s="4" t="s">
        <v>52</v>
      </c>
      <c r="C847" s="4" t="s">
        <v>52</v>
      </c>
      <c r="D847" s="4" t="s">
        <v>52</v>
      </c>
      <c r="E847" s="4" t="s">
        <v>52</v>
      </c>
      <c r="F847" s="4"/>
      <c r="G847" s="4"/>
      <c r="H847" s="3">
        <v>0.33333333333333331</v>
      </c>
      <c r="I847" s="3">
        <v>0.33333333333333331</v>
      </c>
      <c r="J847" s="3">
        <v>0.33333333333333331</v>
      </c>
      <c r="K847" s="4"/>
      <c r="L847" s="4"/>
      <c r="M847" s="4"/>
      <c r="N847" s="4"/>
      <c r="O847" s="4"/>
      <c r="P847" s="4"/>
    </row>
    <row r="848" spans="1:16" x14ac:dyDescent="0.25">
      <c r="A848" s="4" t="s">
        <v>233</v>
      </c>
      <c r="B848" s="4" t="s">
        <v>25</v>
      </c>
      <c r="C848" s="4" t="s">
        <v>25</v>
      </c>
      <c r="D848" s="4" t="s">
        <v>25</v>
      </c>
      <c r="E848" s="4" t="s">
        <v>25</v>
      </c>
      <c r="F848" s="4" t="s">
        <v>25</v>
      </c>
      <c r="G848" s="4" t="s">
        <v>25</v>
      </c>
      <c r="H848" s="4"/>
      <c r="I848" s="4"/>
      <c r="J848" s="4"/>
      <c r="K848" s="4"/>
      <c r="L848" s="3">
        <v>0.30555555555555552</v>
      </c>
      <c r="M848" s="4"/>
      <c r="N848" s="4"/>
      <c r="O848" s="4"/>
      <c r="P848" s="4"/>
    </row>
    <row r="849" spans="1:16" x14ac:dyDescent="0.25">
      <c r="A849" s="4" t="s">
        <v>234</v>
      </c>
      <c r="B849" s="4" t="s">
        <v>25</v>
      </c>
      <c r="C849" s="4" t="s">
        <v>25</v>
      </c>
      <c r="D849" s="4" t="s">
        <v>25</v>
      </c>
      <c r="E849" s="4" t="s">
        <v>25</v>
      </c>
      <c r="F849" s="4" t="s">
        <v>25</v>
      </c>
      <c r="G849" s="4" t="s">
        <v>25</v>
      </c>
      <c r="H849" s="4"/>
      <c r="I849" s="4"/>
      <c r="J849" s="4"/>
      <c r="K849" s="4"/>
      <c r="L849" s="4"/>
      <c r="M849" s="4"/>
      <c r="N849" s="4"/>
      <c r="O849" s="4"/>
      <c r="P849" s="4"/>
    </row>
    <row r="850" spans="1:16" x14ac:dyDescent="0.25">
      <c r="A850" s="4" t="s">
        <v>235</v>
      </c>
      <c r="B850" s="3">
        <v>0.41111111111111115</v>
      </c>
      <c r="C850" s="3">
        <v>0.56388888888888888</v>
      </c>
      <c r="D850" s="3">
        <v>0.60555555555555551</v>
      </c>
      <c r="E850" s="3">
        <v>0.83333333333333337</v>
      </c>
      <c r="F850" s="4"/>
      <c r="G850" s="4"/>
      <c r="H850" s="3">
        <v>0.375</v>
      </c>
      <c r="I850" s="3">
        <v>0.375</v>
      </c>
      <c r="J850" s="4"/>
      <c r="K850" s="4"/>
      <c r="L850" s="4"/>
      <c r="M850" s="4"/>
      <c r="N850" s="4"/>
      <c r="O850" s="4"/>
      <c r="P850" s="4"/>
    </row>
    <row r="851" spans="1:16" x14ac:dyDescent="0.25">
      <c r="A851" s="4" t="s">
        <v>236</v>
      </c>
      <c r="B851" s="3">
        <v>0.41041666666666665</v>
      </c>
      <c r="C851" s="3">
        <v>0.52222222222222225</v>
      </c>
      <c r="D851" s="3">
        <v>0.56388888888888888</v>
      </c>
      <c r="E851" s="3">
        <v>0.83333333333333337</v>
      </c>
      <c r="F851" s="4"/>
      <c r="G851" s="4"/>
      <c r="H851" s="3">
        <v>0.375</v>
      </c>
      <c r="I851" s="3">
        <v>0.375</v>
      </c>
      <c r="J851" s="4"/>
      <c r="K851" s="4"/>
      <c r="L851" s="4"/>
      <c r="M851" s="4"/>
      <c r="N851" s="4"/>
      <c r="O851" s="4"/>
      <c r="P851" s="4"/>
    </row>
    <row r="852" spans="1:16" x14ac:dyDescent="0.25">
      <c r="A852" s="4" t="s">
        <v>237</v>
      </c>
      <c r="B852" s="3">
        <v>0.4381944444444445</v>
      </c>
      <c r="C852" s="3">
        <v>0.57638888888888895</v>
      </c>
      <c r="D852" s="3">
        <v>0.61805555555555558</v>
      </c>
      <c r="E852" s="3">
        <v>0.85416666666666663</v>
      </c>
      <c r="F852" s="4"/>
      <c r="G852" s="4"/>
      <c r="H852" s="3">
        <v>0.375</v>
      </c>
      <c r="I852" s="3">
        <v>0.375</v>
      </c>
      <c r="J852" s="4"/>
      <c r="K852" s="4"/>
      <c r="L852" s="4"/>
      <c r="M852" s="4"/>
      <c r="N852" s="4"/>
      <c r="O852" s="4"/>
      <c r="P852" s="4"/>
    </row>
    <row r="853" spans="1:16" x14ac:dyDescent="0.25">
      <c r="A853" s="4" t="s">
        <v>238</v>
      </c>
      <c r="B853" s="3">
        <v>0.41250000000000003</v>
      </c>
      <c r="C853" s="3">
        <v>0.57222222222222219</v>
      </c>
      <c r="D853" s="3">
        <v>0.61388888888888882</v>
      </c>
      <c r="E853" s="3">
        <v>0.83333333333333337</v>
      </c>
      <c r="F853" s="4"/>
      <c r="G853" s="4"/>
      <c r="H853" s="3">
        <v>0.375</v>
      </c>
      <c r="I853" s="3">
        <v>0.375</v>
      </c>
      <c r="J853" s="4"/>
      <c r="K853" s="4"/>
      <c r="L853" s="4"/>
      <c r="M853" s="4"/>
      <c r="N853" s="4"/>
      <c r="O853" s="4"/>
      <c r="P853" s="4"/>
    </row>
    <row r="854" spans="1:16" x14ac:dyDescent="0.25">
      <c r="A854" s="4" t="s">
        <v>239</v>
      </c>
      <c r="B854" s="3">
        <v>0.3263888888888889</v>
      </c>
      <c r="C854" s="3">
        <v>0.45833333333333331</v>
      </c>
      <c r="D854" s="3">
        <v>0.5</v>
      </c>
      <c r="E854" s="3">
        <v>0.70833333333333337</v>
      </c>
      <c r="F854" s="4"/>
      <c r="G854" s="4"/>
      <c r="H854" s="3">
        <v>0.33333333333333331</v>
      </c>
      <c r="I854" s="3">
        <v>0.33333333333333331</v>
      </c>
      <c r="J854" s="4"/>
      <c r="K854" s="4"/>
      <c r="L854" s="4"/>
      <c r="M854" s="4"/>
      <c r="N854" s="4"/>
      <c r="O854" s="4"/>
      <c r="P854" s="3">
        <v>6.9444444444444441E-3</v>
      </c>
    </row>
    <row r="855" spans="1:16" x14ac:dyDescent="0.25">
      <c r="A855" s="4" t="s">
        <v>240</v>
      </c>
      <c r="B855" s="4" t="s">
        <v>25</v>
      </c>
      <c r="C855" s="4" t="s">
        <v>25</v>
      </c>
      <c r="D855" s="4" t="s">
        <v>25</v>
      </c>
      <c r="E855" s="4" t="s">
        <v>25</v>
      </c>
      <c r="F855" s="4" t="s">
        <v>25</v>
      </c>
      <c r="G855" s="4" t="s">
        <v>25</v>
      </c>
      <c r="H855" s="4"/>
      <c r="I855" s="4"/>
      <c r="J855" s="4"/>
      <c r="K855" s="4"/>
      <c r="L855" s="3">
        <v>0.30555555555555552</v>
      </c>
      <c r="M855" s="4"/>
      <c r="N855" s="4"/>
      <c r="O855" s="4"/>
      <c r="P855" s="4"/>
    </row>
    <row r="856" spans="1:16" x14ac:dyDescent="0.25">
      <c r="A856" s="4" t="s">
        <v>241</v>
      </c>
      <c r="B856" s="4" t="s">
        <v>43</v>
      </c>
      <c r="C856" s="4" t="s">
        <v>273</v>
      </c>
      <c r="D856" s="4" t="s">
        <v>44</v>
      </c>
      <c r="E856" s="4" t="s">
        <v>59</v>
      </c>
      <c r="F856" s="4"/>
      <c r="G856" s="4"/>
      <c r="H856" s="4"/>
      <c r="I856" s="4"/>
      <c r="J856" s="4"/>
      <c r="K856" s="4"/>
      <c r="L856" s="4"/>
      <c r="M856" s="4"/>
      <c r="N856" s="4"/>
      <c r="O856" s="4"/>
      <c r="P856" s="3">
        <v>0.33333333333333331</v>
      </c>
    </row>
    <row r="857" spans="1:16" x14ac:dyDescent="0.25">
      <c r="A857" s="4" t="s">
        <v>242</v>
      </c>
      <c r="B857" s="3">
        <v>0.41180555555555554</v>
      </c>
      <c r="C857" s="3">
        <v>0.57222222222222219</v>
      </c>
      <c r="D857" s="3">
        <v>0.61388888888888882</v>
      </c>
      <c r="E857" s="3">
        <v>0.83333333333333337</v>
      </c>
      <c r="F857" s="4"/>
      <c r="G857" s="4"/>
      <c r="H857" s="3">
        <v>0.375</v>
      </c>
      <c r="I857" s="3">
        <v>0.375</v>
      </c>
      <c r="J857" s="4"/>
      <c r="K857" s="4"/>
      <c r="L857" s="4"/>
      <c r="M857" s="4"/>
      <c r="N857" s="4"/>
      <c r="O857" s="4"/>
      <c r="P857" s="4"/>
    </row>
    <row r="858" spans="1:16" x14ac:dyDescent="0.25">
      <c r="A858" s="4" t="s">
        <v>243</v>
      </c>
      <c r="B858" s="3">
        <v>0.41597222222222219</v>
      </c>
      <c r="C858" s="3">
        <v>0.58402777777777781</v>
      </c>
      <c r="D858" s="3">
        <v>0.62569444444444444</v>
      </c>
      <c r="E858" s="3">
        <v>0.83750000000000002</v>
      </c>
      <c r="F858" s="4"/>
      <c r="G858" s="4"/>
      <c r="H858" s="3">
        <v>0.375</v>
      </c>
      <c r="I858" s="3">
        <v>0.375</v>
      </c>
      <c r="J858" s="4"/>
      <c r="K858" s="4"/>
      <c r="L858" s="4"/>
      <c r="M858" s="4"/>
      <c r="N858" s="4"/>
      <c r="O858" s="4"/>
      <c r="P858" s="4"/>
    </row>
    <row r="859" spans="1:16" x14ac:dyDescent="0.25">
      <c r="A859" s="4" t="s">
        <v>244</v>
      </c>
      <c r="B859" s="4" t="s">
        <v>265</v>
      </c>
      <c r="C859" s="4" t="s">
        <v>265</v>
      </c>
      <c r="D859" s="4" t="s">
        <v>265</v>
      </c>
      <c r="E859" s="4" t="s">
        <v>265</v>
      </c>
      <c r="F859" s="4"/>
      <c r="G859" s="4"/>
      <c r="H859" s="4"/>
      <c r="I859" s="4"/>
      <c r="J859" s="4"/>
      <c r="K859" s="4"/>
      <c r="L859" s="4"/>
      <c r="M859" s="4"/>
      <c r="N859" s="4"/>
      <c r="O859" s="4"/>
      <c r="P859" s="4"/>
    </row>
    <row r="860" spans="1:16" x14ac:dyDescent="0.25">
      <c r="A860" s="4" t="s">
        <v>245</v>
      </c>
      <c r="B860" s="4" t="s">
        <v>265</v>
      </c>
      <c r="C860" s="4" t="s">
        <v>265</v>
      </c>
      <c r="D860" s="4" t="s">
        <v>265</v>
      </c>
      <c r="E860" s="4" t="s">
        <v>265</v>
      </c>
      <c r="F860" s="4"/>
      <c r="G860" s="4"/>
      <c r="H860" s="3">
        <v>0.375</v>
      </c>
      <c r="I860" s="3">
        <v>0.375</v>
      </c>
      <c r="J860" s="3">
        <v>0.375</v>
      </c>
      <c r="K860" s="4"/>
      <c r="L860" s="4"/>
      <c r="M860" s="4"/>
      <c r="N860" s="4"/>
      <c r="O860" s="4"/>
      <c r="P860" s="4"/>
    </row>
    <row r="861" spans="1:16" x14ac:dyDescent="0.25">
      <c r="A861" s="4" t="s">
        <v>246</v>
      </c>
      <c r="B861" s="4" t="s">
        <v>25</v>
      </c>
      <c r="C861" s="4" t="s">
        <v>25</v>
      </c>
      <c r="D861" s="4" t="s">
        <v>25</v>
      </c>
      <c r="E861" s="4" t="s">
        <v>25</v>
      </c>
      <c r="F861" s="4"/>
      <c r="G861" s="4"/>
      <c r="H861" s="3">
        <v>0.33333333333333331</v>
      </c>
      <c r="I861" s="3">
        <v>0.33333333333333331</v>
      </c>
      <c r="J861" s="3">
        <v>0.33333333333333331</v>
      </c>
      <c r="K861" s="4"/>
      <c r="L861" s="4"/>
      <c r="M861" s="4"/>
      <c r="N861" s="4"/>
      <c r="O861" s="4"/>
      <c r="P861" s="4"/>
    </row>
    <row r="862" spans="1:16" x14ac:dyDescent="0.25">
      <c r="A862" s="4" t="s">
        <v>247</v>
      </c>
      <c r="B862" s="4" t="s">
        <v>25</v>
      </c>
      <c r="C862" s="4" t="s">
        <v>25</v>
      </c>
      <c r="D862" s="4" t="s">
        <v>25</v>
      </c>
      <c r="E862" s="4" t="s">
        <v>25</v>
      </c>
      <c r="F862" s="4" t="s">
        <v>25</v>
      </c>
      <c r="G862" s="4" t="s">
        <v>25</v>
      </c>
      <c r="H862" s="4"/>
      <c r="I862" s="4"/>
      <c r="J862" s="4"/>
      <c r="K862" s="4"/>
      <c r="L862" s="4"/>
      <c r="M862" s="4"/>
      <c r="N862" s="4"/>
      <c r="O862" s="4"/>
      <c r="P862" s="4"/>
    </row>
    <row r="863" spans="1:16" x14ac:dyDescent="0.25">
      <c r="A863" s="4" t="s">
        <v>248</v>
      </c>
      <c r="B863" s="4" t="s">
        <v>25</v>
      </c>
      <c r="C863" s="4" t="s">
        <v>25</v>
      </c>
      <c r="D863" s="4" t="s">
        <v>25</v>
      </c>
      <c r="E863" s="4" t="s">
        <v>25</v>
      </c>
      <c r="F863" s="4" t="s">
        <v>25</v>
      </c>
      <c r="G863" s="4" t="s">
        <v>25</v>
      </c>
      <c r="H863" s="4"/>
      <c r="I863" s="4"/>
      <c r="J863" s="4"/>
      <c r="K863" s="4"/>
      <c r="L863" s="4"/>
      <c r="M863" s="4"/>
      <c r="N863" s="4"/>
      <c r="O863" s="4"/>
      <c r="P863" s="4"/>
    </row>
    <row r="864" spans="1:16" x14ac:dyDescent="0.25">
      <c r="A864" s="4" t="s">
        <v>249</v>
      </c>
      <c r="B864" s="4" t="s">
        <v>55</v>
      </c>
      <c r="C864" s="4" t="s">
        <v>55</v>
      </c>
      <c r="D864" s="4" t="s">
        <v>55</v>
      </c>
      <c r="E864" s="4" t="s">
        <v>55</v>
      </c>
      <c r="F864" s="4"/>
      <c r="G864" s="4"/>
      <c r="H864" s="3">
        <v>0.375</v>
      </c>
      <c r="I864" s="3">
        <v>0.375</v>
      </c>
      <c r="J864" s="3">
        <v>0.375</v>
      </c>
      <c r="K864" s="4"/>
      <c r="L864" s="4"/>
      <c r="M864" s="4"/>
      <c r="N864" s="4"/>
      <c r="O864" s="4"/>
      <c r="P864" s="4"/>
    </row>
    <row r="865" spans="1:16" x14ac:dyDescent="0.25">
      <c r="A865" s="4" t="s">
        <v>251</v>
      </c>
      <c r="B865" s="4" t="s">
        <v>55</v>
      </c>
      <c r="C865" s="4" t="s">
        <v>55</v>
      </c>
      <c r="D865" s="4" t="s">
        <v>55</v>
      </c>
      <c r="E865" s="4" t="s">
        <v>55</v>
      </c>
      <c r="F865" s="4"/>
      <c r="G865" s="4"/>
      <c r="H865" s="3">
        <v>0.375</v>
      </c>
      <c r="I865" s="3">
        <v>0.375</v>
      </c>
      <c r="J865" s="3">
        <v>0.375</v>
      </c>
      <c r="K865" s="4"/>
      <c r="L865" s="4"/>
      <c r="M865" s="4"/>
      <c r="N865" s="4"/>
      <c r="O865" s="4"/>
      <c r="P865" s="4"/>
    </row>
    <row r="866" spans="1:16" x14ac:dyDescent="0.25">
      <c r="A866" s="4" t="s">
        <v>256</v>
      </c>
      <c r="B866" s="4" t="s">
        <v>55</v>
      </c>
      <c r="C866" s="4" t="s">
        <v>55</v>
      </c>
      <c r="D866" s="4" t="s">
        <v>55</v>
      </c>
      <c r="E866" s="4" t="s">
        <v>55</v>
      </c>
      <c r="F866" s="4"/>
      <c r="G866" s="4"/>
      <c r="H866" s="3">
        <v>0.375</v>
      </c>
      <c r="I866" s="3">
        <v>0.375</v>
      </c>
      <c r="J866" s="3">
        <v>0.375</v>
      </c>
      <c r="K866" s="4"/>
      <c r="L866" s="4"/>
      <c r="M866" s="4"/>
      <c r="N866" s="4"/>
      <c r="O866" s="4"/>
      <c r="P866" s="4"/>
    </row>
    <row r="867" spans="1:16" x14ac:dyDescent="0.25">
      <c r="A867" s="4" t="s">
        <v>259</v>
      </c>
      <c r="B867" s="4" t="s">
        <v>55</v>
      </c>
      <c r="C867" s="4" t="s">
        <v>55</v>
      </c>
      <c r="D867" s="4" t="s">
        <v>55</v>
      </c>
      <c r="E867" s="4" t="s">
        <v>55</v>
      </c>
      <c r="F867" s="4"/>
      <c r="G867" s="4"/>
      <c r="H867" s="3">
        <v>0.375</v>
      </c>
      <c r="I867" s="3">
        <v>0.375</v>
      </c>
      <c r="J867" s="3">
        <v>0.375</v>
      </c>
      <c r="K867" s="4"/>
      <c r="L867" s="4"/>
      <c r="M867" s="4"/>
      <c r="N867" s="4"/>
      <c r="O867" s="4"/>
      <c r="P867" s="4"/>
    </row>
    <row r="868" spans="1:16" x14ac:dyDescent="0.25">
      <c r="A868" s="4" t="s">
        <v>260</v>
      </c>
      <c r="B868" s="4" t="s">
        <v>55</v>
      </c>
      <c r="C868" s="4" t="s">
        <v>55</v>
      </c>
      <c r="D868" s="4" t="s">
        <v>55</v>
      </c>
      <c r="E868" s="4" t="s">
        <v>55</v>
      </c>
      <c r="F868" s="4"/>
      <c r="G868" s="4"/>
      <c r="H868" s="3">
        <v>0.33333333333333331</v>
      </c>
      <c r="I868" s="3">
        <v>0.33333333333333331</v>
      </c>
      <c r="J868" s="3">
        <v>0.33333333333333331</v>
      </c>
      <c r="K868" s="4"/>
      <c r="L868" s="4"/>
      <c r="M868" s="4"/>
      <c r="N868" s="4"/>
      <c r="O868" s="4"/>
      <c r="P868" s="4"/>
    </row>
    <row r="869" spans="1:16" x14ac:dyDescent="0.25">
      <c r="A869" s="4" t="s">
        <v>261</v>
      </c>
      <c r="B869" s="4" t="s">
        <v>25</v>
      </c>
      <c r="C869" s="4" t="s">
        <v>25</v>
      </c>
      <c r="D869" s="4" t="s">
        <v>25</v>
      </c>
      <c r="E869" s="4" t="s">
        <v>25</v>
      </c>
      <c r="F869" s="4" t="s">
        <v>25</v>
      </c>
      <c r="G869" s="4" t="s">
        <v>25</v>
      </c>
      <c r="H869" s="4"/>
      <c r="I869" s="4"/>
      <c r="J869" s="4"/>
      <c r="K869" s="4"/>
      <c r="L869" s="3">
        <v>0.30555555555555552</v>
      </c>
      <c r="M869" s="4"/>
      <c r="N869" s="4"/>
      <c r="O869" s="4"/>
      <c r="P869" s="4"/>
    </row>
    <row r="870" spans="1:16" x14ac:dyDescent="0.25">
      <c r="A870" s="4" t="s">
        <v>262</v>
      </c>
      <c r="B870" s="4" t="s">
        <v>25</v>
      </c>
      <c r="C870" s="4" t="s">
        <v>25</v>
      </c>
      <c r="D870" s="4" t="s">
        <v>25</v>
      </c>
      <c r="E870" s="4" t="s">
        <v>25</v>
      </c>
      <c r="F870" s="4" t="s">
        <v>25</v>
      </c>
      <c r="G870" s="4" t="s">
        <v>25</v>
      </c>
      <c r="H870" s="4"/>
      <c r="I870" s="4"/>
      <c r="J870" s="4"/>
      <c r="K870" s="4"/>
      <c r="L870" s="4"/>
      <c r="M870" s="4"/>
      <c r="N870" s="4"/>
      <c r="O870" s="4"/>
      <c r="P870" s="4"/>
    </row>
    <row r="871" spans="1:16" x14ac:dyDescent="0.25">
      <c r="A871" s="4" t="s">
        <v>263</v>
      </c>
      <c r="B871" s="4" t="s">
        <v>55</v>
      </c>
      <c r="C871" s="4" t="s">
        <v>55</v>
      </c>
      <c r="D871" s="4" t="s">
        <v>55</v>
      </c>
      <c r="E871" s="4" t="s">
        <v>55</v>
      </c>
      <c r="F871" s="4"/>
      <c r="G871" s="4"/>
      <c r="H871" s="3">
        <v>0.375</v>
      </c>
      <c r="I871" s="3">
        <v>0.375</v>
      </c>
      <c r="J871" s="3">
        <v>0.375</v>
      </c>
      <c r="K871" s="4"/>
      <c r="L871" s="4"/>
      <c r="M871" s="4"/>
      <c r="N871" s="4"/>
      <c r="O871" s="4"/>
      <c r="P871" s="4"/>
    </row>
    <row r="872" spans="1:16" x14ac:dyDescent="0.25">
      <c r="A872" s="4" t="s">
        <v>264</v>
      </c>
      <c r="B872" s="4" t="s">
        <v>55</v>
      </c>
      <c r="C872" s="4" t="s">
        <v>55</v>
      </c>
      <c r="D872" s="4" t="s">
        <v>55</v>
      </c>
      <c r="E872" s="4" t="s">
        <v>55</v>
      </c>
      <c r="F872" s="4"/>
      <c r="G872" s="4"/>
      <c r="H872" s="3">
        <v>0.375</v>
      </c>
      <c r="I872" s="3">
        <v>0.375</v>
      </c>
      <c r="J872" s="3">
        <v>0.375</v>
      </c>
      <c r="K872" s="4"/>
      <c r="L872" s="4"/>
      <c r="M872" s="4"/>
      <c r="N872" s="4"/>
      <c r="O872" s="4"/>
      <c r="P872" s="4"/>
    </row>
    <row r="874" spans="1:16" x14ac:dyDescent="0.25">
      <c r="A874" s="7" t="s">
        <v>45</v>
      </c>
    </row>
    <row r="877" spans="1:16" x14ac:dyDescent="0.25">
      <c r="A877" s="7" t="s">
        <v>46</v>
      </c>
    </row>
    <row r="878" spans="1:16" x14ac:dyDescent="0.25">
      <c r="A878" s="7" t="s">
        <v>80</v>
      </c>
      <c r="F878" s="7" t="s">
        <v>47</v>
      </c>
    </row>
    <row r="879" spans="1:16" x14ac:dyDescent="0.25">
      <c r="F879" s="7"/>
    </row>
    <row r="883" spans="1:16" x14ac:dyDescent="0.25">
      <c r="G883" s="1" t="s">
        <v>18</v>
      </c>
    </row>
    <row r="884" spans="1:16" x14ac:dyDescent="0.25">
      <c r="A884" s="1" t="s">
        <v>1</v>
      </c>
      <c r="B884" t="s">
        <v>2</v>
      </c>
      <c r="H884" s="1" t="s">
        <v>19</v>
      </c>
      <c r="I884" s="1" t="s">
        <v>20</v>
      </c>
      <c r="J884" s="1" t="s">
        <v>21</v>
      </c>
      <c r="K884" s="1" t="s">
        <v>22</v>
      </c>
      <c r="L884" s="1" t="s">
        <v>23</v>
      </c>
      <c r="M884" s="1" t="s">
        <v>24</v>
      </c>
    </row>
    <row r="885" spans="1:16" x14ac:dyDescent="0.25">
      <c r="A885" s="1" t="s">
        <v>3</v>
      </c>
      <c r="B885" t="s">
        <v>4</v>
      </c>
      <c r="G885" s="1" t="s">
        <v>220</v>
      </c>
      <c r="H885" s="3">
        <v>0.3125</v>
      </c>
      <c r="I885" s="3">
        <v>0.5</v>
      </c>
      <c r="J885" s="3">
        <v>0.54166666666666663</v>
      </c>
      <c r="K885" s="3">
        <v>0.72916666666666663</v>
      </c>
      <c r="L885" s="4"/>
      <c r="M885" s="4"/>
    </row>
    <row r="886" spans="1:16" x14ac:dyDescent="0.25">
      <c r="A886" s="1" t="s">
        <v>5</v>
      </c>
      <c r="B886" t="s">
        <v>6</v>
      </c>
      <c r="G886" s="1" t="s">
        <v>221</v>
      </c>
      <c r="H886" s="3">
        <v>0.29166666666666669</v>
      </c>
      <c r="I886" s="3">
        <v>0.5</v>
      </c>
      <c r="J886" s="3">
        <v>0.54166666666666663</v>
      </c>
      <c r="K886" s="3">
        <v>0.66666666666666663</v>
      </c>
      <c r="L886" s="4"/>
      <c r="M886" s="4"/>
    </row>
    <row r="887" spans="1:16" x14ac:dyDescent="0.25">
      <c r="G887" s="1" t="s">
        <v>222</v>
      </c>
      <c r="H887" s="3">
        <v>0.3125</v>
      </c>
      <c r="I887" s="3">
        <v>0.5</v>
      </c>
      <c r="J887" s="3">
        <v>0.54166666666666663</v>
      </c>
      <c r="K887" s="3">
        <v>0.72916666666666663</v>
      </c>
      <c r="L887" s="4"/>
      <c r="M887" s="4"/>
    </row>
    <row r="888" spans="1:16" x14ac:dyDescent="0.25">
      <c r="A888" s="1" t="s">
        <v>7</v>
      </c>
      <c r="B888" t="s">
        <v>82</v>
      </c>
      <c r="G888" s="1" t="s">
        <v>223</v>
      </c>
      <c r="H888" s="3">
        <v>0.3125</v>
      </c>
      <c r="I888" s="3">
        <v>0.5</v>
      </c>
      <c r="J888" s="3">
        <v>0.54166666666666663</v>
      </c>
      <c r="K888" s="3">
        <v>0.72916666666666663</v>
      </c>
      <c r="L888" s="4"/>
      <c r="M888" s="4"/>
    </row>
    <row r="889" spans="1:16" x14ac:dyDescent="0.25">
      <c r="A889" s="1" t="s">
        <v>9</v>
      </c>
      <c r="B889" t="s">
        <v>83</v>
      </c>
      <c r="D889" s="1" t="s">
        <v>11</v>
      </c>
      <c r="E889" t="s">
        <v>83</v>
      </c>
      <c r="G889" s="1" t="s">
        <v>224</v>
      </c>
      <c r="H889" s="3">
        <v>0.3125</v>
      </c>
      <c r="I889" s="3">
        <v>0.5</v>
      </c>
      <c r="J889" s="3">
        <v>0.54166666666666663</v>
      </c>
      <c r="K889" s="3">
        <v>0.72916666666666663</v>
      </c>
      <c r="L889" s="4"/>
      <c r="M889" s="4"/>
    </row>
    <row r="890" spans="1:16" x14ac:dyDescent="0.25">
      <c r="A890" s="1" t="s">
        <v>12</v>
      </c>
      <c r="D890" s="1" t="s">
        <v>13</v>
      </c>
      <c r="E890" s="2">
        <v>42499</v>
      </c>
      <c r="G890" s="1" t="s">
        <v>225</v>
      </c>
      <c r="H890" s="4" t="s">
        <v>25</v>
      </c>
      <c r="I890" s="4" t="s">
        <v>25</v>
      </c>
      <c r="J890" s="4" t="s">
        <v>25</v>
      </c>
      <c r="K890" s="4" t="s">
        <v>25</v>
      </c>
      <c r="L890" s="4" t="s">
        <v>25</v>
      </c>
      <c r="M890" s="4" t="s">
        <v>25</v>
      </c>
    </row>
    <row r="891" spans="1:16" x14ac:dyDescent="0.25">
      <c r="A891" s="1" t="s">
        <v>14</v>
      </c>
      <c r="B891" t="s">
        <v>50</v>
      </c>
      <c r="G891" s="1" t="s">
        <v>226</v>
      </c>
      <c r="H891" s="4" t="s">
        <v>25</v>
      </c>
      <c r="I891" s="4" t="s">
        <v>25</v>
      </c>
      <c r="J891" s="4" t="s">
        <v>25</v>
      </c>
      <c r="K891" s="4" t="s">
        <v>25</v>
      </c>
      <c r="L891" s="4" t="s">
        <v>25</v>
      </c>
      <c r="M891" s="4" t="s">
        <v>25</v>
      </c>
    </row>
    <row r="892" spans="1:16" x14ac:dyDescent="0.25">
      <c r="A892" s="1" t="s">
        <v>16</v>
      </c>
      <c r="B892" t="s">
        <v>17</v>
      </c>
    </row>
    <row r="895" spans="1:16" x14ac:dyDescent="0.25">
      <c r="A895" s="5" t="s">
        <v>26</v>
      </c>
      <c r="B895" s="5" t="s">
        <v>27</v>
      </c>
      <c r="C895" s="5" t="s">
        <v>28</v>
      </c>
      <c r="D895" s="5" t="s">
        <v>29</v>
      </c>
      <c r="E895" s="5" t="s">
        <v>30</v>
      </c>
      <c r="F895" s="5" t="s">
        <v>31</v>
      </c>
      <c r="G895" s="5" t="s">
        <v>32</v>
      </c>
      <c r="H895" s="5" t="s">
        <v>33</v>
      </c>
      <c r="I895" s="5" t="s">
        <v>34</v>
      </c>
      <c r="J895" s="5" t="s">
        <v>35</v>
      </c>
      <c r="K895" s="5" t="s">
        <v>36</v>
      </c>
      <c r="L895" s="5" t="s">
        <v>37</v>
      </c>
      <c r="M895" s="5" t="s">
        <v>38</v>
      </c>
      <c r="N895" s="5" t="s">
        <v>39</v>
      </c>
      <c r="O895" s="5" t="s">
        <v>40</v>
      </c>
      <c r="P895" s="5" t="s">
        <v>41</v>
      </c>
    </row>
    <row r="896" spans="1:16" x14ac:dyDescent="0.25">
      <c r="A896" s="4"/>
      <c r="B896" s="4"/>
      <c r="C896" s="4"/>
      <c r="D896" s="4"/>
      <c r="E896" s="4"/>
      <c r="F896" s="4"/>
      <c r="G896" s="4"/>
      <c r="H896" s="6">
        <v>8.0416666666666661</v>
      </c>
      <c r="I896" s="6">
        <v>8.0347222222222232</v>
      </c>
      <c r="J896" s="6">
        <v>3.2916666666666665</v>
      </c>
      <c r="K896" s="3">
        <v>0</v>
      </c>
      <c r="L896" s="3">
        <v>0</v>
      </c>
      <c r="M896" s="3">
        <v>0</v>
      </c>
      <c r="N896" s="3">
        <v>0</v>
      </c>
      <c r="O896" s="3">
        <v>6.9444444444444441E-3</v>
      </c>
      <c r="P896" s="3">
        <v>6.0416666666666667E-2</v>
      </c>
    </row>
    <row r="897" spans="1:16" x14ac:dyDescent="0.25">
      <c r="A897" s="4" t="s">
        <v>227</v>
      </c>
      <c r="B897" s="3">
        <v>0.30486111111111108</v>
      </c>
      <c r="C897" s="3">
        <v>0.52013888888888882</v>
      </c>
      <c r="D897" s="3">
        <v>0.55694444444444446</v>
      </c>
      <c r="E897" s="3">
        <v>0.73263888888888884</v>
      </c>
      <c r="F897" s="4"/>
      <c r="G897" s="4"/>
      <c r="H897" s="3">
        <v>0.375</v>
      </c>
      <c r="I897" s="3">
        <v>0.375</v>
      </c>
      <c r="J897" s="4"/>
      <c r="K897" s="4"/>
      <c r="L897" s="4"/>
      <c r="M897" s="4"/>
      <c r="N897" s="4"/>
      <c r="O897" s="4"/>
      <c r="P897" s="3">
        <v>1.2499999999999999E-2</v>
      </c>
    </row>
    <row r="898" spans="1:16" x14ac:dyDescent="0.25">
      <c r="A898" s="4" t="s">
        <v>228</v>
      </c>
      <c r="B898" s="3">
        <v>0.27013888888888887</v>
      </c>
      <c r="C898" s="3">
        <v>0.51944444444444449</v>
      </c>
      <c r="D898" s="3">
        <v>0.55763888888888891</v>
      </c>
      <c r="E898" s="3">
        <v>0.64583333333333337</v>
      </c>
      <c r="F898" s="4"/>
      <c r="G898" s="4"/>
      <c r="H898" s="3">
        <v>0.33333333333333331</v>
      </c>
      <c r="I898" s="3">
        <v>0.33333333333333331</v>
      </c>
      <c r="J898" s="4"/>
      <c r="K898" s="4"/>
      <c r="L898" s="4"/>
      <c r="M898" s="4"/>
      <c r="N898" s="4"/>
      <c r="O898" s="4"/>
      <c r="P898" s="4"/>
    </row>
    <row r="899" spans="1:16" x14ac:dyDescent="0.25">
      <c r="A899" s="4" t="s">
        <v>229</v>
      </c>
      <c r="B899" s="3">
        <v>0.30763888888888891</v>
      </c>
      <c r="C899" s="3">
        <v>0.52152777777777781</v>
      </c>
      <c r="D899" s="3">
        <v>0.55555555555555558</v>
      </c>
      <c r="E899" s="3">
        <v>0.72986111111111107</v>
      </c>
      <c r="F899" s="4"/>
      <c r="G899" s="4"/>
      <c r="H899" s="3">
        <v>0.375</v>
      </c>
      <c r="I899" s="3">
        <v>0.375</v>
      </c>
      <c r="J899" s="4"/>
      <c r="K899" s="4"/>
      <c r="L899" s="4"/>
      <c r="M899" s="4"/>
      <c r="N899" s="4"/>
      <c r="O899" s="4"/>
      <c r="P899" s="3">
        <v>1.2499999999999999E-2</v>
      </c>
    </row>
    <row r="900" spans="1:16" x14ac:dyDescent="0.25">
      <c r="A900" s="4" t="s">
        <v>230</v>
      </c>
      <c r="B900" s="3">
        <v>0.3</v>
      </c>
      <c r="C900" s="3">
        <v>0.53194444444444444</v>
      </c>
      <c r="D900" s="3">
        <v>0.5708333333333333</v>
      </c>
      <c r="E900" s="3">
        <v>0.73263888888888884</v>
      </c>
      <c r="F900" s="4"/>
      <c r="G900" s="4"/>
      <c r="H900" s="3">
        <v>0.375</v>
      </c>
      <c r="I900" s="3">
        <v>0.375</v>
      </c>
      <c r="J900" s="4"/>
      <c r="K900" s="4"/>
      <c r="L900" s="4"/>
      <c r="M900" s="4"/>
      <c r="N900" s="4"/>
      <c r="O900" s="4"/>
      <c r="P900" s="3">
        <v>1.5277777777777777E-2</v>
      </c>
    </row>
    <row r="901" spans="1:16" x14ac:dyDescent="0.25">
      <c r="A901" s="4" t="s">
        <v>231</v>
      </c>
      <c r="B901" s="3">
        <v>0.30486111111111108</v>
      </c>
      <c r="C901" s="3">
        <v>0.49791666666666662</v>
      </c>
      <c r="D901" s="3">
        <v>0.55069444444444449</v>
      </c>
      <c r="E901" s="3">
        <v>0.73819444444444438</v>
      </c>
      <c r="F901" s="4"/>
      <c r="G901" s="4"/>
      <c r="H901" s="3">
        <v>0.375</v>
      </c>
      <c r="I901" s="3">
        <v>0.375</v>
      </c>
      <c r="J901" s="4"/>
      <c r="K901" s="4"/>
      <c r="L901" s="4"/>
      <c r="M901" s="4"/>
      <c r="N901" s="4"/>
      <c r="O901" s="4"/>
      <c r="P901" s="3">
        <v>7.6388888888888886E-3</v>
      </c>
    </row>
    <row r="902" spans="1:16" x14ac:dyDescent="0.25">
      <c r="A902" s="4" t="s">
        <v>232</v>
      </c>
      <c r="B902" s="4" t="s">
        <v>25</v>
      </c>
      <c r="C902" s="4" t="s">
        <v>25</v>
      </c>
      <c r="D902" s="4" t="s">
        <v>25</v>
      </c>
      <c r="E902" s="4" t="s">
        <v>25</v>
      </c>
      <c r="F902" s="4"/>
      <c r="G902" s="4"/>
      <c r="H902" s="4"/>
      <c r="I902" s="4"/>
      <c r="J902" s="4"/>
      <c r="K902" s="4"/>
      <c r="L902" s="4"/>
      <c r="M902" s="4"/>
      <c r="N902" s="4"/>
      <c r="O902" s="4"/>
      <c r="P902" s="4"/>
    </row>
    <row r="903" spans="1:16" x14ac:dyDescent="0.25">
      <c r="A903" s="4" t="s">
        <v>233</v>
      </c>
      <c r="B903" s="4" t="s">
        <v>25</v>
      </c>
      <c r="C903" s="4" t="s">
        <v>25</v>
      </c>
      <c r="D903" s="4" t="s">
        <v>25</v>
      </c>
      <c r="E903" s="4" t="s">
        <v>25</v>
      </c>
      <c r="F903" s="4"/>
      <c r="G903" s="4"/>
      <c r="H903" s="4"/>
      <c r="I903" s="4"/>
      <c r="J903" s="4"/>
      <c r="K903" s="4"/>
      <c r="L903" s="4"/>
      <c r="M903" s="4"/>
      <c r="N903" s="4"/>
      <c r="O903" s="4"/>
      <c r="P903" s="4"/>
    </row>
    <row r="904" spans="1:16" x14ac:dyDescent="0.25">
      <c r="A904" s="4" t="s">
        <v>234</v>
      </c>
      <c r="B904" s="3">
        <v>0.31041666666666667</v>
      </c>
      <c r="C904" s="3">
        <v>0.52222222222222225</v>
      </c>
      <c r="D904" s="3">
        <v>0.56319444444444444</v>
      </c>
      <c r="E904" s="3">
        <v>0.72986111111111107</v>
      </c>
      <c r="F904" s="4"/>
      <c r="G904" s="4"/>
      <c r="H904" s="3">
        <v>0.375</v>
      </c>
      <c r="I904" s="3">
        <v>0.375</v>
      </c>
      <c r="J904" s="4"/>
      <c r="K904" s="4"/>
      <c r="L904" s="4"/>
      <c r="M904" s="4"/>
      <c r="N904" s="4"/>
      <c r="O904" s="4"/>
      <c r="P904" s="4"/>
    </row>
    <row r="905" spans="1:16" x14ac:dyDescent="0.25">
      <c r="A905" s="4" t="s">
        <v>235</v>
      </c>
      <c r="B905" s="3">
        <v>0.28958333333333336</v>
      </c>
      <c r="C905" s="3">
        <v>0.50902777777777775</v>
      </c>
      <c r="D905" s="3">
        <v>0.54652777777777783</v>
      </c>
      <c r="E905" s="3">
        <v>0.66736111111111107</v>
      </c>
      <c r="F905" s="4"/>
      <c r="G905" s="4"/>
      <c r="H905" s="3">
        <v>0.33333333333333331</v>
      </c>
      <c r="I905" s="3">
        <v>0.33333333333333331</v>
      </c>
      <c r="J905" s="4"/>
      <c r="K905" s="4"/>
      <c r="L905" s="4"/>
      <c r="M905" s="4"/>
      <c r="N905" s="4"/>
      <c r="O905" s="4"/>
      <c r="P905" s="4"/>
    </row>
    <row r="906" spans="1:16" x14ac:dyDescent="0.25">
      <c r="A906" s="4" t="s">
        <v>236</v>
      </c>
      <c r="B906" s="3">
        <v>0.31041666666666667</v>
      </c>
      <c r="C906" s="3">
        <v>0.52083333333333337</v>
      </c>
      <c r="D906" s="3">
        <v>0.56111111111111112</v>
      </c>
      <c r="E906" s="3">
        <v>0.73125000000000007</v>
      </c>
      <c r="F906" s="4"/>
      <c r="G906" s="4"/>
      <c r="H906" s="3">
        <v>0.375</v>
      </c>
      <c r="I906" s="3">
        <v>0.375</v>
      </c>
      <c r="J906" s="4"/>
      <c r="K906" s="4"/>
      <c r="L906" s="4"/>
      <c r="M906" s="4"/>
      <c r="N906" s="4"/>
      <c r="O906" s="4"/>
      <c r="P906" s="4"/>
    </row>
    <row r="907" spans="1:16" x14ac:dyDescent="0.25">
      <c r="A907" s="4" t="s">
        <v>237</v>
      </c>
      <c r="B907" s="3">
        <v>0.30763888888888891</v>
      </c>
      <c r="C907" s="3">
        <v>0.51041666666666663</v>
      </c>
      <c r="D907" s="3">
        <v>0.55069444444444449</v>
      </c>
      <c r="E907" s="3">
        <v>0.72986111111111107</v>
      </c>
      <c r="F907" s="4"/>
      <c r="G907" s="4"/>
      <c r="H907" s="3">
        <v>0.375</v>
      </c>
      <c r="I907" s="3">
        <v>0.375</v>
      </c>
      <c r="J907" s="4"/>
      <c r="K907" s="4"/>
      <c r="L907" s="4"/>
      <c r="M907" s="4"/>
      <c r="N907" s="4"/>
      <c r="O907" s="4"/>
      <c r="P907" s="4"/>
    </row>
    <row r="908" spans="1:16" x14ac:dyDescent="0.25">
      <c r="A908" s="4" t="s">
        <v>238</v>
      </c>
      <c r="B908" s="3">
        <v>0.30833333333333335</v>
      </c>
      <c r="C908" s="3">
        <v>0.55625000000000002</v>
      </c>
      <c r="D908" s="3">
        <v>0.60625000000000007</v>
      </c>
      <c r="E908" s="3">
        <v>0.74583333333333324</v>
      </c>
      <c r="F908" s="4"/>
      <c r="G908" s="4"/>
      <c r="H908" s="3">
        <v>0.375</v>
      </c>
      <c r="I908" s="3">
        <v>0.375</v>
      </c>
      <c r="J908" s="4"/>
      <c r="K908" s="4"/>
      <c r="L908" s="4"/>
      <c r="M908" s="4"/>
      <c r="N908" s="4"/>
      <c r="O908" s="4"/>
      <c r="P908" s="3">
        <v>1.2499999999999999E-2</v>
      </c>
    </row>
    <row r="909" spans="1:16" x14ac:dyDescent="0.25">
      <c r="A909" s="4" t="s">
        <v>239</v>
      </c>
      <c r="B909" s="4" t="s">
        <v>25</v>
      </c>
      <c r="C909" s="4" t="s">
        <v>25</v>
      </c>
      <c r="D909" s="4" t="s">
        <v>25</v>
      </c>
      <c r="E909" s="4" t="s">
        <v>25</v>
      </c>
      <c r="F909" s="4"/>
      <c r="G909" s="4"/>
      <c r="H909" s="4"/>
      <c r="I909" s="4"/>
      <c r="J909" s="4"/>
      <c r="K909" s="4"/>
      <c r="L909" s="4"/>
      <c r="M909" s="4"/>
      <c r="N909" s="4"/>
      <c r="O909" s="4"/>
      <c r="P909" s="4"/>
    </row>
    <row r="910" spans="1:16" x14ac:dyDescent="0.25">
      <c r="A910" s="4" t="s">
        <v>240</v>
      </c>
      <c r="B910" s="4" t="s">
        <v>25</v>
      </c>
      <c r="C910" s="4" t="s">
        <v>25</v>
      </c>
      <c r="D910" s="4" t="s">
        <v>25</v>
      </c>
      <c r="E910" s="4" t="s">
        <v>25</v>
      </c>
      <c r="F910" s="4"/>
      <c r="G910" s="4"/>
      <c r="H910" s="4"/>
      <c r="I910" s="4"/>
      <c r="J910" s="4"/>
      <c r="K910" s="4"/>
      <c r="L910" s="4"/>
      <c r="M910" s="4"/>
      <c r="N910" s="4"/>
      <c r="O910" s="4"/>
      <c r="P910" s="4"/>
    </row>
    <row r="911" spans="1:16" x14ac:dyDescent="0.25">
      <c r="A911" s="4" t="s">
        <v>241</v>
      </c>
      <c r="B911" s="3">
        <v>0.30694444444444441</v>
      </c>
      <c r="C911" s="3">
        <v>0.54097222222222219</v>
      </c>
      <c r="D911" s="3">
        <v>0.58263888888888882</v>
      </c>
      <c r="E911" s="3">
        <v>0.73125000000000007</v>
      </c>
      <c r="F911" s="4"/>
      <c r="G911" s="4"/>
      <c r="H911" s="3">
        <v>0.375</v>
      </c>
      <c r="I911" s="3">
        <v>0.375</v>
      </c>
      <c r="J911" s="4"/>
      <c r="K911" s="4"/>
      <c r="L911" s="4"/>
      <c r="M911" s="4"/>
      <c r="N911" s="4"/>
      <c r="O911" s="4"/>
      <c r="P911" s="4"/>
    </row>
    <row r="912" spans="1:16" x14ac:dyDescent="0.25">
      <c r="A912" s="4" t="s">
        <v>242</v>
      </c>
      <c r="B912" s="3">
        <v>0.28472222222222221</v>
      </c>
      <c r="C912" s="3">
        <v>0.51388888888888895</v>
      </c>
      <c r="D912" s="3">
        <v>0.55833333333333335</v>
      </c>
      <c r="E912" s="3">
        <v>0.66666666666666663</v>
      </c>
      <c r="F912" s="4"/>
      <c r="G912" s="4"/>
      <c r="H912" s="3">
        <v>0.33333333333333331</v>
      </c>
      <c r="I912" s="3">
        <v>0.33333333333333331</v>
      </c>
      <c r="J912" s="4"/>
      <c r="K912" s="4"/>
      <c r="L912" s="4"/>
      <c r="M912" s="4"/>
      <c r="N912" s="4"/>
      <c r="O912" s="4"/>
      <c r="P912" s="4"/>
    </row>
    <row r="913" spans="1:16" x14ac:dyDescent="0.25">
      <c r="A913" s="4" t="s">
        <v>243</v>
      </c>
      <c r="B913" s="3">
        <v>0.30902777777777779</v>
      </c>
      <c r="C913" s="3">
        <v>0.5708333333333333</v>
      </c>
      <c r="D913" s="3">
        <v>0.61944444444444446</v>
      </c>
      <c r="E913" s="3">
        <v>0.73125000000000007</v>
      </c>
      <c r="F913" s="4"/>
      <c r="G913" s="4"/>
      <c r="H913" s="3">
        <v>0.375</v>
      </c>
      <c r="I913" s="3">
        <v>0.36805555555555558</v>
      </c>
      <c r="J913" s="4"/>
      <c r="K913" s="4"/>
      <c r="L913" s="4"/>
      <c r="M913" s="4"/>
      <c r="N913" s="4"/>
      <c r="O913" s="3">
        <v>6.9444444444444441E-3</v>
      </c>
      <c r="P913" s="4"/>
    </row>
    <row r="914" spans="1:16" x14ac:dyDescent="0.25">
      <c r="A914" s="4" t="s">
        <v>244</v>
      </c>
      <c r="B914" s="4" t="s">
        <v>265</v>
      </c>
      <c r="C914" s="4" t="s">
        <v>265</v>
      </c>
      <c r="D914" s="4" t="s">
        <v>265</v>
      </c>
      <c r="E914" s="4" t="s">
        <v>265</v>
      </c>
      <c r="F914" s="4"/>
      <c r="G914" s="4"/>
      <c r="H914" s="4"/>
      <c r="I914" s="4"/>
      <c r="J914" s="4"/>
      <c r="K914" s="4"/>
      <c r="L914" s="4"/>
      <c r="M914" s="4"/>
      <c r="N914" s="4"/>
      <c r="O914" s="4"/>
      <c r="P914" s="4"/>
    </row>
    <row r="915" spans="1:16" x14ac:dyDescent="0.25">
      <c r="A915" s="4" t="s">
        <v>245</v>
      </c>
      <c r="B915" s="4" t="s">
        <v>52</v>
      </c>
      <c r="C915" s="4" t="s">
        <v>52</v>
      </c>
      <c r="D915" s="4" t="s">
        <v>52</v>
      </c>
      <c r="E915" s="4" t="s">
        <v>52</v>
      </c>
      <c r="F915" s="4"/>
      <c r="G915" s="4"/>
      <c r="H915" s="3">
        <v>0.375</v>
      </c>
      <c r="I915" s="3">
        <v>0.375</v>
      </c>
      <c r="J915" s="3">
        <v>0.375</v>
      </c>
      <c r="K915" s="4"/>
      <c r="L915" s="4"/>
      <c r="M915" s="4"/>
      <c r="N915" s="4"/>
      <c r="O915" s="4"/>
      <c r="P915" s="4"/>
    </row>
    <row r="916" spans="1:16" x14ac:dyDescent="0.25">
      <c r="A916" s="4" t="s">
        <v>246</v>
      </c>
      <c r="B916" s="4" t="s">
        <v>25</v>
      </c>
      <c r="C916" s="4" t="s">
        <v>25</v>
      </c>
      <c r="D916" s="4" t="s">
        <v>25</v>
      </c>
      <c r="E916" s="4" t="s">
        <v>25</v>
      </c>
      <c r="F916" s="4"/>
      <c r="G916" s="4"/>
      <c r="H916" s="4"/>
      <c r="I916" s="4"/>
      <c r="J916" s="4"/>
      <c r="K916" s="4"/>
      <c r="L916" s="4"/>
      <c r="M916" s="4"/>
      <c r="N916" s="4"/>
      <c r="O916" s="4"/>
      <c r="P916" s="4"/>
    </row>
    <row r="917" spans="1:16" x14ac:dyDescent="0.25">
      <c r="A917" s="4" t="s">
        <v>247</v>
      </c>
      <c r="B917" s="4" t="s">
        <v>25</v>
      </c>
      <c r="C917" s="4" t="s">
        <v>25</v>
      </c>
      <c r="D917" s="4" t="s">
        <v>25</v>
      </c>
      <c r="E917" s="4" t="s">
        <v>25</v>
      </c>
      <c r="F917" s="4"/>
      <c r="G917" s="4"/>
      <c r="H917" s="4"/>
      <c r="I917" s="4"/>
      <c r="J917" s="4"/>
      <c r="K917" s="4"/>
      <c r="L917" s="4"/>
      <c r="M917" s="4"/>
      <c r="N917" s="4"/>
      <c r="O917" s="4"/>
      <c r="P917" s="4"/>
    </row>
    <row r="918" spans="1:16" x14ac:dyDescent="0.25">
      <c r="A918" s="4" t="s">
        <v>248</v>
      </c>
      <c r="B918" s="4" t="s">
        <v>55</v>
      </c>
      <c r="C918" s="4" t="s">
        <v>55</v>
      </c>
      <c r="D918" s="4" t="s">
        <v>55</v>
      </c>
      <c r="E918" s="4" t="s">
        <v>55</v>
      </c>
      <c r="F918" s="4"/>
      <c r="G918" s="4"/>
      <c r="H918" s="3">
        <v>0.375</v>
      </c>
      <c r="I918" s="3">
        <v>0.375</v>
      </c>
      <c r="J918" s="3">
        <v>0.375</v>
      </c>
      <c r="K918" s="4"/>
      <c r="L918" s="4"/>
      <c r="M918" s="4"/>
      <c r="N918" s="4"/>
      <c r="O918" s="4"/>
      <c r="P918" s="4"/>
    </row>
    <row r="919" spans="1:16" x14ac:dyDescent="0.25">
      <c r="A919" s="4" t="s">
        <v>249</v>
      </c>
      <c r="B919" s="4" t="s">
        <v>55</v>
      </c>
      <c r="C919" s="4" t="s">
        <v>55</v>
      </c>
      <c r="D919" s="4" t="s">
        <v>55</v>
      </c>
      <c r="E919" s="4" t="s">
        <v>55</v>
      </c>
      <c r="F919" s="4"/>
      <c r="G919" s="4"/>
      <c r="H919" s="3">
        <v>0.33333333333333331</v>
      </c>
      <c r="I919" s="3">
        <v>0.33333333333333331</v>
      </c>
      <c r="J919" s="3">
        <v>0.33333333333333331</v>
      </c>
      <c r="K919" s="4"/>
      <c r="L919" s="4"/>
      <c r="M919" s="4"/>
      <c r="N919" s="4"/>
      <c r="O919" s="4"/>
      <c r="P919" s="4"/>
    </row>
    <row r="920" spans="1:16" x14ac:dyDescent="0.25">
      <c r="A920" s="4" t="s">
        <v>251</v>
      </c>
      <c r="B920" s="4" t="s">
        <v>55</v>
      </c>
      <c r="C920" s="4" t="s">
        <v>55</v>
      </c>
      <c r="D920" s="4" t="s">
        <v>55</v>
      </c>
      <c r="E920" s="4" t="s">
        <v>55</v>
      </c>
      <c r="F920" s="4"/>
      <c r="G920" s="4"/>
      <c r="H920" s="3">
        <v>0.375</v>
      </c>
      <c r="I920" s="3">
        <v>0.375</v>
      </c>
      <c r="J920" s="3">
        <v>0.375</v>
      </c>
      <c r="K920" s="4"/>
      <c r="L920" s="4"/>
      <c r="M920" s="4"/>
      <c r="N920" s="4"/>
      <c r="O920" s="4"/>
      <c r="P920" s="4"/>
    </row>
    <row r="921" spans="1:16" x14ac:dyDescent="0.25">
      <c r="A921" s="4" t="s">
        <v>256</v>
      </c>
      <c r="B921" s="4" t="s">
        <v>55</v>
      </c>
      <c r="C921" s="4" t="s">
        <v>55</v>
      </c>
      <c r="D921" s="4" t="s">
        <v>55</v>
      </c>
      <c r="E921" s="4" t="s">
        <v>55</v>
      </c>
      <c r="F921" s="4"/>
      <c r="G921" s="4"/>
      <c r="H921" s="3">
        <v>0.375</v>
      </c>
      <c r="I921" s="3">
        <v>0.375</v>
      </c>
      <c r="J921" s="3">
        <v>0.375</v>
      </c>
      <c r="K921" s="4"/>
      <c r="L921" s="4"/>
      <c r="M921" s="4"/>
      <c r="N921" s="4"/>
      <c r="O921" s="4"/>
      <c r="P921" s="4"/>
    </row>
    <row r="922" spans="1:16" x14ac:dyDescent="0.25">
      <c r="A922" s="4" t="s">
        <v>259</v>
      </c>
      <c r="B922" s="4" t="s">
        <v>55</v>
      </c>
      <c r="C922" s="4" t="s">
        <v>55</v>
      </c>
      <c r="D922" s="4" t="s">
        <v>55</v>
      </c>
      <c r="E922" s="4" t="s">
        <v>55</v>
      </c>
      <c r="F922" s="4"/>
      <c r="G922" s="4"/>
      <c r="H922" s="3">
        <v>0.375</v>
      </c>
      <c r="I922" s="3">
        <v>0.375</v>
      </c>
      <c r="J922" s="3">
        <v>0.375</v>
      </c>
      <c r="K922" s="4"/>
      <c r="L922" s="4"/>
      <c r="M922" s="4"/>
      <c r="N922" s="4"/>
      <c r="O922" s="4"/>
      <c r="P922" s="4"/>
    </row>
    <row r="923" spans="1:16" x14ac:dyDescent="0.25">
      <c r="A923" s="4" t="s">
        <v>260</v>
      </c>
      <c r="B923" s="4" t="s">
        <v>55</v>
      </c>
      <c r="C923" s="4" t="s">
        <v>55</v>
      </c>
      <c r="D923" s="4" t="s">
        <v>55</v>
      </c>
      <c r="E923" s="4" t="s">
        <v>55</v>
      </c>
      <c r="F923" s="4"/>
      <c r="G923" s="4"/>
      <c r="H923" s="4"/>
      <c r="I923" s="4"/>
      <c r="J923" s="4"/>
      <c r="K923" s="4"/>
      <c r="L923" s="4"/>
      <c r="M923" s="4"/>
      <c r="N923" s="4"/>
      <c r="O923" s="4"/>
      <c r="P923" s="4"/>
    </row>
    <row r="924" spans="1:16" x14ac:dyDescent="0.25">
      <c r="A924" s="4" t="s">
        <v>261</v>
      </c>
      <c r="B924" s="4" t="s">
        <v>55</v>
      </c>
      <c r="C924" s="4" t="s">
        <v>55</v>
      </c>
      <c r="D924" s="4" t="s">
        <v>55</v>
      </c>
      <c r="E924" s="4" t="s">
        <v>55</v>
      </c>
      <c r="F924" s="4"/>
      <c r="G924" s="4"/>
      <c r="H924" s="4"/>
      <c r="I924" s="4"/>
      <c r="J924" s="4"/>
      <c r="K924" s="4"/>
      <c r="L924" s="4"/>
      <c r="M924" s="4"/>
      <c r="N924" s="4"/>
      <c r="O924" s="4"/>
      <c r="P924" s="4"/>
    </row>
    <row r="925" spans="1:16" x14ac:dyDescent="0.25">
      <c r="A925" s="4" t="s">
        <v>262</v>
      </c>
      <c r="B925" s="4" t="s">
        <v>55</v>
      </c>
      <c r="C925" s="4" t="s">
        <v>55</v>
      </c>
      <c r="D925" s="4" t="s">
        <v>55</v>
      </c>
      <c r="E925" s="4" t="s">
        <v>55</v>
      </c>
      <c r="F925" s="4"/>
      <c r="G925" s="4"/>
      <c r="H925" s="3">
        <v>0.375</v>
      </c>
      <c r="I925" s="3">
        <v>0.375</v>
      </c>
      <c r="J925" s="3">
        <v>0.375</v>
      </c>
      <c r="K925" s="4"/>
      <c r="L925" s="4"/>
      <c r="M925" s="4"/>
      <c r="N925" s="4"/>
      <c r="O925" s="4"/>
      <c r="P925" s="4"/>
    </row>
    <row r="926" spans="1:16" x14ac:dyDescent="0.25">
      <c r="A926" s="4" t="s">
        <v>263</v>
      </c>
      <c r="B926" s="4" t="s">
        <v>55</v>
      </c>
      <c r="C926" s="4" t="s">
        <v>55</v>
      </c>
      <c r="D926" s="4" t="s">
        <v>55</v>
      </c>
      <c r="E926" s="4" t="s">
        <v>55</v>
      </c>
      <c r="F926" s="4"/>
      <c r="G926" s="4"/>
      <c r="H926" s="3">
        <v>0.33333333333333331</v>
      </c>
      <c r="I926" s="3">
        <v>0.33333333333333331</v>
      </c>
      <c r="J926" s="3">
        <v>0.33333333333333331</v>
      </c>
      <c r="K926" s="4"/>
      <c r="L926" s="4"/>
      <c r="M926" s="4"/>
      <c r="N926" s="4"/>
      <c r="O926" s="4"/>
      <c r="P926" s="4"/>
    </row>
    <row r="927" spans="1:16" x14ac:dyDescent="0.25">
      <c r="A927" s="4" t="s">
        <v>264</v>
      </c>
      <c r="B927" s="4" t="s">
        <v>55</v>
      </c>
      <c r="C927" s="4" t="s">
        <v>55</v>
      </c>
      <c r="D927" s="4" t="s">
        <v>55</v>
      </c>
      <c r="E927" s="4" t="s">
        <v>55</v>
      </c>
      <c r="F927" s="4"/>
      <c r="G927" s="4"/>
      <c r="H927" s="3">
        <v>0.375</v>
      </c>
      <c r="I927" s="3">
        <v>0.375</v>
      </c>
      <c r="J927" s="3">
        <v>0.375</v>
      </c>
      <c r="K927" s="4"/>
      <c r="L927" s="4"/>
      <c r="M927" s="4"/>
      <c r="N927" s="4"/>
      <c r="O927" s="4"/>
      <c r="P927" s="4"/>
    </row>
    <row r="929" spans="1:13" x14ac:dyDescent="0.25">
      <c r="A929" s="7" t="s">
        <v>45</v>
      </c>
    </row>
    <row r="932" spans="1:13" x14ac:dyDescent="0.25">
      <c r="A932" s="7" t="s">
        <v>46</v>
      </c>
    </row>
    <row r="933" spans="1:13" x14ac:dyDescent="0.25">
      <c r="A933" s="7" t="s">
        <v>82</v>
      </c>
      <c r="F933" s="7" t="s">
        <v>47</v>
      </c>
    </row>
    <row r="934" spans="1:13" x14ac:dyDescent="0.25">
      <c r="F934" s="7"/>
    </row>
    <row r="938" spans="1:13" x14ac:dyDescent="0.25">
      <c r="G938" s="1" t="s">
        <v>18</v>
      </c>
    </row>
    <row r="939" spans="1:13" x14ac:dyDescent="0.25">
      <c r="A939" s="1" t="s">
        <v>1</v>
      </c>
      <c r="B939" t="s">
        <v>2</v>
      </c>
      <c r="H939" s="1" t="s">
        <v>19</v>
      </c>
      <c r="I939" s="1" t="s">
        <v>20</v>
      </c>
      <c r="J939" s="1" t="s">
        <v>21</v>
      </c>
      <c r="K939" s="1" t="s">
        <v>22</v>
      </c>
      <c r="L939" s="1" t="s">
        <v>23</v>
      </c>
      <c r="M939" s="1" t="s">
        <v>24</v>
      </c>
    </row>
    <row r="940" spans="1:13" x14ac:dyDescent="0.25">
      <c r="A940" s="1" t="s">
        <v>3</v>
      </c>
      <c r="B940" t="s">
        <v>4</v>
      </c>
      <c r="G940" s="1" t="s">
        <v>220</v>
      </c>
      <c r="H940" s="3">
        <v>0.375</v>
      </c>
      <c r="I940" s="3">
        <v>0.5</v>
      </c>
      <c r="J940" s="3">
        <v>0.54166666666666663</v>
      </c>
      <c r="K940" s="3">
        <v>0.79166666666666663</v>
      </c>
      <c r="L940" s="4"/>
      <c r="M940" s="4"/>
    </row>
    <row r="941" spans="1:13" x14ac:dyDescent="0.25">
      <c r="A941" s="1" t="s">
        <v>5</v>
      </c>
      <c r="B941" t="s">
        <v>6</v>
      </c>
      <c r="G941" s="1" t="s">
        <v>221</v>
      </c>
      <c r="H941" s="3">
        <v>0.375</v>
      </c>
      <c r="I941" s="3">
        <v>0.5</v>
      </c>
      <c r="J941" s="3">
        <v>0.54166666666666663</v>
      </c>
      <c r="K941" s="3">
        <v>0.79166666666666663</v>
      </c>
      <c r="L941" s="4"/>
      <c r="M941" s="4"/>
    </row>
    <row r="942" spans="1:13" x14ac:dyDescent="0.25">
      <c r="G942" s="1" t="s">
        <v>222</v>
      </c>
      <c r="H942" s="3">
        <v>0.375</v>
      </c>
      <c r="I942" s="3">
        <v>0.5</v>
      </c>
      <c r="J942" s="3">
        <v>0.54166666666666663</v>
      </c>
      <c r="K942" s="3">
        <v>0.79166666666666663</v>
      </c>
      <c r="L942" s="4"/>
      <c r="M942" s="4"/>
    </row>
    <row r="943" spans="1:13" x14ac:dyDescent="0.25">
      <c r="A943" s="1" t="s">
        <v>7</v>
      </c>
      <c r="B943" t="s">
        <v>84</v>
      </c>
      <c r="G943" s="1" t="s">
        <v>223</v>
      </c>
      <c r="H943" s="3">
        <v>0.375</v>
      </c>
      <c r="I943" s="3">
        <v>0.5</v>
      </c>
      <c r="J943" s="3">
        <v>0.54166666666666663</v>
      </c>
      <c r="K943" s="3">
        <v>0.79166666666666663</v>
      </c>
      <c r="L943" s="4"/>
      <c r="M943" s="4"/>
    </row>
    <row r="944" spans="1:13" x14ac:dyDescent="0.25">
      <c r="A944" s="1" t="s">
        <v>9</v>
      </c>
      <c r="B944" t="s">
        <v>85</v>
      </c>
      <c r="D944" s="1" t="s">
        <v>11</v>
      </c>
      <c r="E944" t="s">
        <v>85</v>
      </c>
      <c r="G944" s="1" t="s">
        <v>224</v>
      </c>
      <c r="H944" s="3">
        <v>0.375</v>
      </c>
      <c r="I944" s="3">
        <v>0.5</v>
      </c>
      <c r="J944" s="3">
        <v>0.54166666666666663</v>
      </c>
      <c r="K944" s="3">
        <v>0.75</v>
      </c>
      <c r="L944" s="4"/>
      <c r="M944" s="4"/>
    </row>
    <row r="945" spans="1:16" x14ac:dyDescent="0.25">
      <c r="A945" s="1" t="s">
        <v>12</v>
      </c>
      <c r="D945" s="1" t="s">
        <v>13</v>
      </c>
      <c r="E945" s="2">
        <v>42807</v>
      </c>
      <c r="G945" s="1" t="s">
        <v>225</v>
      </c>
      <c r="H945" s="4" t="s">
        <v>25</v>
      </c>
      <c r="I945" s="4" t="s">
        <v>25</v>
      </c>
      <c r="J945" s="4" t="s">
        <v>25</v>
      </c>
      <c r="K945" s="4" t="s">
        <v>25</v>
      </c>
      <c r="L945" s="4" t="s">
        <v>25</v>
      </c>
      <c r="M945" s="4" t="s">
        <v>25</v>
      </c>
    </row>
    <row r="946" spans="1:16" x14ac:dyDescent="0.25">
      <c r="A946" s="1" t="s">
        <v>14</v>
      </c>
      <c r="B946" t="s">
        <v>86</v>
      </c>
      <c r="G946" s="1" t="s">
        <v>226</v>
      </c>
      <c r="H946" s="4" t="s">
        <v>25</v>
      </c>
      <c r="I946" s="4" t="s">
        <v>25</v>
      </c>
      <c r="J946" s="4" t="s">
        <v>25</v>
      </c>
      <c r="K946" s="4" t="s">
        <v>25</v>
      </c>
      <c r="L946" s="4" t="s">
        <v>25</v>
      </c>
      <c r="M946" s="4" t="s">
        <v>25</v>
      </c>
    </row>
    <row r="947" spans="1:16" x14ac:dyDescent="0.25">
      <c r="A947" s="1" t="s">
        <v>16</v>
      </c>
      <c r="B947" t="s">
        <v>17</v>
      </c>
    </row>
    <row r="950" spans="1:16" x14ac:dyDescent="0.25">
      <c r="A950" s="5" t="s">
        <v>26</v>
      </c>
      <c r="B950" s="5" t="s">
        <v>27</v>
      </c>
      <c r="C950" s="5" t="s">
        <v>28</v>
      </c>
      <c r="D950" s="5" t="s">
        <v>29</v>
      </c>
      <c r="E950" s="5" t="s">
        <v>30</v>
      </c>
      <c r="F950" s="5" t="s">
        <v>31</v>
      </c>
      <c r="G950" s="5" t="s">
        <v>32</v>
      </c>
      <c r="H950" s="5" t="s">
        <v>33</v>
      </c>
      <c r="I950" s="5" t="s">
        <v>34</v>
      </c>
      <c r="J950" s="5" t="s">
        <v>35</v>
      </c>
      <c r="K950" s="5" t="s">
        <v>36</v>
      </c>
      <c r="L950" s="5" t="s">
        <v>37</v>
      </c>
      <c r="M950" s="5" t="s">
        <v>38</v>
      </c>
      <c r="N950" s="5" t="s">
        <v>39</v>
      </c>
      <c r="O950" s="5" t="s">
        <v>40</v>
      </c>
      <c r="P950" s="5" t="s">
        <v>41</v>
      </c>
    </row>
    <row r="951" spans="1:16" x14ac:dyDescent="0.25">
      <c r="A951" s="4"/>
      <c r="B951" s="4"/>
      <c r="C951" s="4"/>
      <c r="D951" s="4"/>
      <c r="E951" s="4"/>
      <c r="F951" s="4"/>
      <c r="G951" s="4"/>
      <c r="H951" s="6">
        <v>8.0833333333333339</v>
      </c>
      <c r="I951" s="6">
        <v>8.0763888888888893</v>
      </c>
      <c r="J951" s="6">
        <v>1.8333333333333333</v>
      </c>
      <c r="K951" s="3">
        <v>0</v>
      </c>
      <c r="L951" s="3">
        <v>0</v>
      </c>
      <c r="M951" s="3">
        <v>0</v>
      </c>
      <c r="N951" s="3">
        <v>0</v>
      </c>
      <c r="O951" s="3">
        <v>6.9444444444444441E-3</v>
      </c>
      <c r="P951" s="3">
        <v>2.7083333333333334E-2</v>
      </c>
    </row>
    <row r="952" spans="1:16" x14ac:dyDescent="0.25">
      <c r="A952" s="4" t="s">
        <v>227</v>
      </c>
      <c r="B952" s="3">
        <v>0.37222222222222223</v>
      </c>
      <c r="C952" s="3">
        <v>0.54583333333333328</v>
      </c>
      <c r="D952" s="3">
        <v>0.58194444444444449</v>
      </c>
      <c r="E952" s="3">
        <v>0.79236111111111107</v>
      </c>
      <c r="F952" s="4"/>
      <c r="G952" s="4"/>
      <c r="H952" s="3">
        <v>0.375</v>
      </c>
      <c r="I952" s="3">
        <v>0.375</v>
      </c>
      <c r="J952" s="4"/>
      <c r="K952" s="4"/>
      <c r="L952" s="4"/>
      <c r="M952" s="4"/>
      <c r="N952" s="4"/>
      <c r="O952" s="4"/>
      <c r="P952" s="4"/>
    </row>
    <row r="953" spans="1:16" x14ac:dyDescent="0.25">
      <c r="A953" s="4" t="s">
        <v>228</v>
      </c>
      <c r="B953" s="3">
        <v>0.37222222222222223</v>
      </c>
      <c r="C953" s="3">
        <v>0.61875000000000002</v>
      </c>
      <c r="D953" s="3">
        <v>0.66249999999999998</v>
      </c>
      <c r="E953" s="3">
        <v>0.79305555555555562</v>
      </c>
      <c r="F953" s="4"/>
      <c r="G953" s="4"/>
      <c r="H953" s="3">
        <v>0.375</v>
      </c>
      <c r="I953" s="3">
        <v>0.375</v>
      </c>
      <c r="J953" s="4"/>
      <c r="K953" s="4"/>
      <c r="L953" s="4"/>
      <c r="M953" s="4"/>
      <c r="N953" s="4"/>
      <c r="O953" s="4"/>
      <c r="P953" s="4"/>
    </row>
    <row r="954" spans="1:16" x14ac:dyDescent="0.25">
      <c r="A954" s="4" t="s">
        <v>229</v>
      </c>
      <c r="B954" s="3">
        <v>0.37152777777777773</v>
      </c>
      <c r="C954" s="3">
        <v>0.5541666666666667</v>
      </c>
      <c r="D954" s="3">
        <v>0.59236111111111112</v>
      </c>
      <c r="E954" s="3">
        <v>0.79305555555555562</v>
      </c>
      <c r="F954" s="4"/>
      <c r="G954" s="4"/>
      <c r="H954" s="3">
        <v>0.375</v>
      </c>
      <c r="I954" s="3">
        <v>0.375</v>
      </c>
      <c r="J954" s="4"/>
      <c r="K954" s="4"/>
      <c r="L954" s="4"/>
      <c r="M954" s="4"/>
      <c r="N954" s="4"/>
      <c r="O954" s="4"/>
      <c r="P954" s="4"/>
    </row>
    <row r="955" spans="1:16" x14ac:dyDescent="0.25">
      <c r="A955" s="4" t="s">
        <v>230</v>
      </c>
      <c r="B955" s="3">
        <v>0.37013888888888885</v>
      </c>
      <c r="C955" s="3">
        <v>0.55763888888888891</v>
      </c>
      <c r="D955" s="3">
        <v>0.59791666666666665</v>
      </c>
      <c r="E955" s="3">
        <v>0.79305555555555562</v>
      </c>
      <c r="F955" s="4"/>
      <c r="G955" s="4"/>
      <c r="H955" s="3">
        <v>0.375</v>
      </c>
      <c r="I955" s="3">
        <v>0.375</v>
      </c>
      <c r="J955" s="4"/>
      <c r="K955" s="4"/>
      <c r="L955" s="4"/>
      <c r="M955" s="4"/>
      <c r="N955" s="4"/>
      <c r="O955" s="4"/>
      <c r="P955" s="4"/>
    </row>
    <row r="956" spans="1:16" x14ac:dyDescent="0.25">
      <c r="A956" s="4" t="s">
        <v>231</v>
      </c>
      <c r="B956" s="3">
        <v>0.36944444444444446</v>
      </c>
      <c r="C956" s="3">
        <v>0.49861111111111112</v>
      </c>
      <c r="D956" s="3">
        <v>0.54583333333333328</v>
      </c>
      <c r="E956" s="3">
        <v>0.75138888888888899</v>
      </c>
      <c r="F956" s="4"/>
      <c r="G956" s="4"/>
      <c r="H956" s="3">
        <v>0.33333333333333331</v>
      </c>
      <c r="I956" s="3">
        <v>0.33333333333333331</v>
      </c>
      <c r="J956" s="4"/>
      <c r="K956" s="4"/>
      <c r="L956" s="4"/>
      <c r="M956" s="4"/>
      <c r="N956" s="4"/>
      <c r="O956" s="4"/>
      <c r="P956" s="4"/>
    </row>
    <row r="957" spans="1:16" x14ac:dyDescent="0.25">
      <c r="A957" s="4" t="s">
        <v>232</v>
      </c>
      <c r="B957" s="4" t="s">
        <v>25</v>
      </c>
      <c r="C957" s="4" t="s">
        <v>25</v>
      </c>
      <c r="D957" s="4" t="s">
        <v>25</v>
      </c>
      <c r="E957" s="4" t="s">
        <v>25</v>
      </c>
      <c r="F957" s="4" t="s">
        <v>25</v>
      </c>
      <c r="G957" s="4" t="s">
        <v>25</v>
      </c>
      <c r="H957" s="4"/>
      <c r="I957" s="4"/>
      <c r="J957" s="4"/>
      <c r="K957" s="4"/>
      <c r="L957" s="4"/>
      <c r="M957" s="4"/>
      <c r="N957" s="4"/>
      <c r="O957" s="4"/>
      <c r="P957" s="4"/>
    </row>
    <row r="958" spans="1:16" x14ac:dyDescent="0.25">
      <c r="A958" s="4" t="s">
        <v>233</v>
      </c>
      <c r="B958" s="4" t="s">
        <v>25</v>
      </c>
      <c r="C958" s="4" t="s">
        <v>25</v>
      </c>
      <c r="D958" s="4" t="s">
        <v>25</v>
      </c>
      <c r="E958" s="4" t="s">
        <v>25</v>
      </c>
      <c r="F958" s="4" t="s">
        <v>25</v>
      </c>
      <c r="G958" s="4" t="s">
        <v>25</v>
      </c>
      <c r="H958" s="4"/>
      <c r="I958" s="4"/>
      <c r="J958" s="4"/>
      <c r="K958" s="4"/>
      <c r="L958" s="4"/>
      <c r="M958" s="4"/>
      <c r="N958" s="4"/>
      <c r="O958" s="4"/>
      <c r="P958" s="4"/>
    </row>
    <row r="959" spans="1:16" x14ac:dyDescent="0.25">
      <c r="A959" s="4" t="s">
        <v>234</v>
      </c>
      <c r="B959" s="3">
        <v>0.37013888888888885</v>
      </c>
      <c r="C959" s="3">
        <v>0.53194444444444444</v>
      </c>
      <c r="D959" s="3">
        <v>0.57013888888888886</v>
      </c>
      <c r="E959" s="3">
        <v>0.79236111111111107</v>
      </c>
      <c r="F959" s="4"/>
      <c r="G959" s="4"/>
      <c r="H959" s="3">
        <v>0.375</v>
      </c>
      <c r="I959" s="3">
        <v>0.375</v>
      </c>
      <c r="J959" s="4"/>
      <c r="K959" s="4"/>
      <c r="L959" s="4"/>
      <c r="M959" s="4"/>
      <c r="N959" s="4"/>
      <c r="O959" s="4"/>
      <c r="P959" s="3">
        <v>8.3333333333333332E-3</v>
      </c>
    </row>
    <row r="960" spans="1:16" x14ac:dyDescent="0.25">
      <c r="A960" s="4" t="s">
        <v>235</v>
      </c>
      <c r="B960" s="3">
        <v>0.37222222222222223</v>
      </c>
      <c r="C960" s="3">
        <v>0.59305555555555556</v>
      </c>
      <c r="D960" s="3">
        <v>0.63263888888888886</v>
      </c>
      <c r="E960" s="3">
        <v>0.79236111111111107</v>
      </c>
      <c r="F960" s="4"/>
      <c r="G960" s="4"/>
      <c r="H960" s="3">
        <v>0.375</v>
      </c>
      <c r="I960" s="3">
        <v>0.375</v>
      </c>
      <c r="J960" s="4"/>
      <c r="K960" s="4"/>
      <c r="L960" s="4"/>
      <c r="M960" s="4"/>
      <c r="N960" s="4"/>
      <c r="O960" s="4"/>
      <c r="P960" s="4"/>
    </row>
    <row r="961" spans="1:16" x14ac:dyDescent="0.25">
      <c r="A961" s="4" t="s">
        <v>236</v>
      </c>
      <c r="B961" s="3">
        <v>0.36944444444444446</v>
      </c>
      <c r="C961" s="3">
        <v>0.57430555555555551</v>
      </c>
      <c r="D961" s="3">
        <v>0.61249999999999993</v>
      </c>
      <c r="E961" s="3">
        <v>0.79305555555555562</v>
      </c>
      <c r="F961" s="4"/>
      <c r="G961" s="4"/>
      <c r="H961" s="3">
        <v>0.375</v>
      </c>
      <c r="I961" s="3">
        <v>0.375</v>
      </c>
      <c r="J961" s="4"/>
      <c r="K961" s="4"/>
      <c r="L961" s="4"/>
      <c r="M961" s="4"/>
      <c r="N961" s="4"/>
      <c r="O961" s="4"/>
      <c r="P961" s="3">
        <v>9.0277777777777787E-3</v>
      </c>
    </row>
    <row r="962" spans="1:16" x14ac:dyDescent="0.25">
      <c r="A962" s="4" t="s">
        <v>237</v>
      </c>
      <c r="B962" s="3">
        <v>0.36944444444444446</v>
      </c>
      <c r="C962" s="3">
        <v>0.54236111111111118</v>
      </c>
      <c r="D962" s="3">
        <v>0.57986111111111105</v>
      </c>
      <c r="E962" s="3">
        <v>0.79513888888888884</v>
      </c>
      <c r="F962" s="4"/>
      <c r="G962" s="4"/>
      <c r="H962" s="3">
        <v>0.375</v>
      </c>
      <c r="I962" s="3">
        <v>0.375</v>
      </c>
      <c r="J962" s="4"/>
      <c r="K962" s="4"/>
      <c r="L962" s="4"/>
      <c r="M962" s="4"/>
      <c r="N962" s="4"/>
      <c r="O962" s="4"/>
      <c r="P962" s="3">
        <v>9.7222222222222224E-3</v>
      </c>
    </row>
    <row r="963" spans="1:16" x14ac:dyDescent="0.25">
      <c r="A963" s="4" t="s">
        <v>238</v>
      </c>
      <c r="B963" s="3">
        <v>0.37152777777777773</v>
      </c>
      <c r="C963" s="3">
        <v>0.54305555555555551</v>
      </c>
      <c r="D963" s="3">
        <v>0.5805555555555556</v>
      </c>
      <c r="E963" s="3">
        <v>0.75138888888888899</v>
      </c>
      <c r="F963" s="4"/>
      <c r="G963" s="4"/>
      <c r="H963" s="3">
        <v>0.33333333333333331</v>
      </c>
      <c r="I963" s="3">
        <v>0.33333333333333331</v>
      </c>
      <c r="J963" s="4"/>
      <c r="K963" s="4"/>
      <c r="L963" s="4"/>
      <c r="M963" s="4"/>
      <c r="N963" s="4"/>
      <c r="O963" s="4"/>
      <c r="P963" s="4"/>
    </row>
    <row r="964" spans="1:16" x14ac:dyDescent="0.25">
      <c r="A964" s="4" t="s">
        <v>239</v>
      </c>
      <c r="B964" s="4" t="s">
        <v>25</v>
      </c>
      <c r="C964" s="4" t="s">
        <v>25</v>
      </c>
      <c r="D964" s="4" t="s">
        <v>25</v>
      </c>
      <c r="E964" s="4" t="s">
        <v>25</v>
      </c>
      <c r="F964" s="4" t="s">
        <v>25</v>
      </c>
      <c r="G964" s="4" t="s">
        <v>25</v>
      </c>
      <c r="H964" s="4"/>
      <c r="I964" s="4"/>
      <c r="J964" s="4"/>
      <c r="K964" s="4"/>
      <c r="L964" s="4"/>
      <c r="M964" s="4"/>
      <c r="N964" s="4"/>
      <c r="O964" s="4"/>
      <c r="P964" s="4"/>
    </row>
    <row r="965" spans="1:16" x14ac:dyDescent="0.25">
      <c r="A965" s="4" t="s">
        <v>240</v>
      </c>
      <c r="B965" s="4" t="s">
        <v>25</v>
      </c>
      <c r="C965" s="4" t="s">
        <v>25</v>
      </c>
      <c r="D965" s="4" t="s">
        <v>25</v>
      </c>
      <c r="E965" s="4" t="s">
        <v>25</v>
      </c>
      <c r="F965" s="4" t="s">
        <v>25</v>
      </c>
      <c r="G965" s="4" t="s">
        <v>25</v>
      </c>
      <c r="H965" s="4"/>
      <c r="I965" s="4"/>
      <c r="J965" s="4"/>
      <c r="K965" s="4"/>
      <c r="L965" s="4"/>
      <c r="M965" s="4"/>
      <c r="N965" s="4"/>
      <c r="O965" s="4"/>
      <c r="P965" s="4"/>
    </row>
    <row r="966" spans="1:16" x14ac:dyDescent="0.25">
      <c r="A966" s="4" t="s">
        <v>241</v>
      </c>
      <c r="B966" s="3">
        <v>0.37222222222222223</v>
      </c>
      <c r="C966" s="3">
        <v>0.60486111111111118</v>
      </c>
      <c r="D966" s="3">
        <v>0.64652777777777781</v>
      </c>
      <c r="E966" s="3">
        <v>0.79236111111111107</v>
      </c>
      <c r="F966" s="4"/>
      <c r="G966" s="4"/>
      <c r="H966" s="3">
        <v>0.375</v>
      </c>
      <c r="I966" s="3">
        <v>0.375</v>
      </c>
      <c r="J966" s="4"/>
      <c r="K966" s="4"/>
      <c r="L966" s="4"/>
      <c r="M966" s="4"/>
      <c r="N966" s="4"/>
      <c r="O966" s="4"/>
      <c r="P966" s="4"/>
    </row>
    <row r="967" spans="1:16" x14ac:dyDescent="0.25">
      <c r="A967" s="4" t="s">
        <v>242</v>
      </c>
      <c r="B967" s="3">
        <v>0.3743055555555555</v>
      </c>
      <c r="C967" s="3">
        <v>0.54097222222222219</v>
      </c>
      <c r="D967" s="3">
        <v>0.58263888888888882</v>
      </c>
      <c r="E967" s="3">
        <v>0.79305555555555562</v>
      </c>
      <c r="F967" s="4"/>
      <c r="G967" s="4"/>
      <c r="H967" s="3">
        <v>0.375</v>
      </c>
      <c r="I967" s="3">
        <v>0.375</v>
      </c>
      <c r="J967" s="4"/>
      <c r="K967" s="4"/>
      <c r="L967" s="4"/>
      <c r="M967" s="4"/>
      <c r="N967" s="4"/>
      <c r="O967" s="4"/>
      <c r="P967" s="4"/>
    </row>
    <row r="968" spans="1:16" x14ac:dyDescent="0.25">
      <c r="A968" s="4" t="s">
        <v>243</v>
      </c>
      <c r="B968" s="3">
        <v>0.375</v>
      </c>
      <c r="C968" s="3">
        <v>0.57152777777777775</v>
      </c>
      <c r="D968" s="3">
        <v>0.62013888888888891</v>
      </c>
      <c r="E968" s="4" t="s">
        <v>87</v>
      </c>
      <c r="F968" s="4"/>
      <c r="G968" s="4"/>
      <c r="H968" s="3">
        <v>0.375</v>
      </c>
      <c r="I968" s="3">
        <v>0.36805555555555558</v>
      </c>
      <c r="J968" s="4"/>
      <c r="K968" s="4"/>
      <c r="L968" s="4"/>
      <c r="M968" s="4"/>
      <c r="N968" s="4"/>
      <c r="O968" s="3">
        <v>6.9444444444444441E-3</v>
      </c>
      <c r="P968" s="4"/>
    </row>
    <row r="969" spans="1:16" x14ac:dyDescent="0.25">
      <c r="A969" s="4" t="s">
        <v>244</v>
      </c>
      <c r="B969" s="4" t="s">
        <v>265</v>
      </c>
      <c r="C969" s="4" t="s">
        <v>265</v>
      </c>
      <c r="D969" s="4" t="s">
        <v>265</v>
      </c>
      <c r="E969" s="4" t="s">
        <v>265</v>
      </c>
      <c r="F969" s="4"/>
      <c r="G969" s="4"/>
      <c r="H969" s="4"/>
      <c r="I969" s="4"/>
      <c r="J969" s="4"/>
      <c r="K969" s="4"/>
      <c r="L969" s="4"/>
      <c r="M969" s="4"/>
      <c r="N969" s="4"/>
      <c r="O969" s="4"/>
      <c r="P969" s="4"/>
    </row>
    <row r="970" spans="1:16" x14ac:dyDescent="0.25">
      <c r="A970" s="4" t="s">
        <v>245</v>
      </c>
      <c r="B970" s="4" t="s">
        <v>52</v>
      </c>
      <c r="C970" s="4" t="s">
        <v>52</v>
      </c>
      <c r="D970" s="4" t="s">
        <v>52</v>
      </c>
      <c r="E970" s="4" t="s">
        <v>52</v>
      </c>
      <c r="F970" s="4"/>
      <c r="G970" s="4"/>
      <c r="H970" s="3">
        <v>0.33333333333333331</v>
      </c>
      <c r="I970" s="3">
        <v>0.33333333333333331</v>
      </c>
      <c r="J970" s="3">
        <v>0.33333333333333331</v>
      </c>
      <c r="K970" s="4"/>
      <c r="L970" s="4"/>
      <c r="M970" s="4"/>
      <c r="N970" s="4"/>
      <c r="O970" s="4"/>
      <c r="P970" s="4"/>
    </row>
    <row r="971" spans="1:16" x14ac:dyDescent="0.25">
      <c r="A971" s="4" t="s">
        <v>246</v>
      </c>
      <c r="B971" s="4" t="s">
        <v>25</v>
      </c>
      <c r="C971" s="4" t="s">
        <v>25</v>
      </c>
      <c r="D971" s="4" t="s">
        <v>25</v>
      </c>
      <c r="E971" s="4" t="s">
        <v>25</v>
      </c>
      <c r="F971" s="4" t="s">
        <v>25</v>
      </c>
      <c r="G971" s="4" t="s">
        <v>25</v>
      </c>
      <c r="H971" s="4"/>
      <c r="I971" s="4"/>
      <c r="J971" s="4"/>
      <c r="K971" s="4"/>
      <c r="L971" s="4"/>
      <c r="M971" s="4"/>
      <c r="N971" s="4"/>
      <c r="O971" s="4"/>
      <c r="P971" s="4"/>
    </row>
    <row r="972" spans="1:16" x14ac:dyDescent="0.25">
      <c r="A972" s="4" t="s">
        <v>247</v>
      </c>
      <c r="B972" s="4" t="s">
        <v>25</v>
      </c>
      <c r="C972" s="4" t="s">
        <v>25</v>
      </c>
      <c r="D972" s="4" t="s">
        <v>25</v>
      </c>
      <c r="E972" s="4" t="s">
        <v>25</v>
      </c>
      <c r="F972" s="4" t="s">
        <v>25</v>
      </c>
      <c r="G972" s="4" t="s">
        <v>25</v>
      </c>
      <c r="H972" s="4"/>
      <c r="I972" s="4"/>
      <c r="J972" s="4"/>
      <c r="K972" s="4"/>
      <c r="L972" s="4"/>
      <c r="M972" s="4"/>
      <c r="N972" s="4"/>
      <c r="O972" s="4"/>
      <c r="P972" s="4"/>
    </row>
    <row r="973" spans="1:16" x14ac:dyDescent="0.25">
      <c r="A973" s="4" t="s">
        <v>248</v>
      </c>
      <c r="B973" s="4" t="s">
        <v>52</v>
      </c>
      <c r="C973" s="4" t="s">
        <v>52</v>
      </c>
      <c r="D973" s="4" t="s">
        <v>52</v>
      </c>
      <c r="E973" s="4" t="s">
        <v>52</v>
      </c>
      <c r="F973" s="4"/>
      <c r="G973" s="4"/>
      <c r="H973" s="3">
        <v>0.375</v>
      </c>
      <c r="I973" s="3">
        <v>0.375</v>
      </c>
      <c r="J973" s="3">
        <v>0.375</v>
      </c>
      <c r="K973" s="4"/>
      <c r="L973" s="4"/>
      <c r="M973" s="4"/>
      <c r="N973" s="4"/>
      <c r="O973" s="4"/>
      <c r="P973" s="4"/>
    </row>
    <row r="974" spans="1:16" x14ac:dyDescent="0.25">
      <c r="A974" s="4" t="s">
        <v>249</v>
      </c>
      <c r="B974" s="4" t="s">
        <v>52</v>
      </c>
      <c r="C974" s="4" t="s">
        <v>52</v>
      </c>
      <c r="D974" s="4" t="s">
        <v>52</v>
      </c>
      <c r="E974" s="4" t="s">
        <v>52</v>
      </c>
      <c r="F974" s="4"/>
      <c r="G974" s="4"/>
      <c r="H974" s="3">
        <v>0.375</v>
      </c>
      <c r="I974" s="3">
        <v>0.375</v>
      </c>
      <c r="J974" s="3">
        <v>0.375</v>
      </c>
      <c r="K974" s="4"/>
      <c r="L974" s="4"/>
      <c r="M974" s="4"/>
      <c r="N974" s="4"/>
      <c r="O974" s="4"/>
      <c r="P974" s="4"/>
    </row>
    <row r="975" spans="1:16" x14ac:dyDescent="0.25">
      <c r="A975" s="4" t="s">
        <v>251</v>
      </c>
      <c r="B975" s="4" t="s">
        <v>52</v>
      </c>
      <c r="C975" s="4" t="s">
        <v>52</v>
      </c>
      <c r="D975" s="4" t="s">
        <v>52</v>
      </c>
      <c r="E975" s="4" t="s">
        <v>52</v>
      </c>
      <c r="F975" s="4"/>
      <c r="G975" s="4"/>
      <c r="H975" s="3">
        <v>0.375</v>
      </c>
      <c r="I975" s="3">
        <v>0.375</v>
      </c>
      <c r="J975" s="3">
        <v>0.375</v>
      </c>
      <c r="K975" s="4"/>
      <c r="L975" s="4"/>
      <c r="M975" s="4"/>
      <c r="N975" s="4"/>
      <c r="O975" s="4"/>
      <c r="P975" s="4"/>
    </row>
    <row r="976" spans="1:16" x14ac:dyDescent="0.25">
      <c r="A976" s="4" t="s">
        <v>256</v>
      </c>
      <c r="B976" s="4" t="s">
        <v>52</v>
      </c>
      <c r="C976" s="4" t="s">
        <v>52</v>
      </c>
      <c r="D976" s="4" t="s">
        <v>52</v>
      </c>
      <c r="E976" s="4" t="s">
        <v>52</v>
      </c>
      <c r="F976" s="4"/>
      <c r="G976" s="4"/>
      <c r="H976" s="3">
        <v>0.375</v>
      </c>
      <c r="I976" s="3">
        <v>0.375</v>
      </c>
      <c r="J976" s="3">
        <v>0.375</v>
      </c>
      <c r="K976" s="4"/>
      <c r="L976" s="4"/>
      <c r="M976" s="4"/>
      <c r="N976" s="4"/>
      <c r="O976" s="4"/>
      <c r="P976" s="4"/>
    </row>
    <row r="977" spans="1:16" x14ac:dyDescent="0.25">
      <c r="A977" s="4" t="s">
        <v>259</v>
      </c>
      <c r="B977" s="4" t="s">
        <v>252</v>
      </c>
      <c r="C977" s="3">
        <v>0.51111111111111118</v>
      </c>
      <c r="D977" s="3">
        <v>0.55277777777777781</v>
      </c>
      <c r="E977" s="3">
        <v>0.75138888888888899</v>
      </c>
      <c r="F977" s="4"/>
      <c r="G977" s="4"/>
      <c r="H977" s="3">
        <v>0.33333333333333331</v>
      </c>
      <c r="I977" s="3">
        <v>0.33333333333333331</v>
      </c>
      <c r="J977" s="4"/>
      <c r="K977" s="4"/>
      <c r="L977" s="4"/>
      <c r="M977" s="4"/>
      <c r="N977" s="4"/>
      <c r="O977" s="4"/>
      <c r="P977" s="4"/>
    </row>
    <row r="978" spans="1:16" x14ac:dyDescent="0.25">
      <c r="A978" s="4" t="s">
        <v>260</v>
      </c>
      <c r="B978" s="4" t="s">
        <v>25</v>
      </c>
      <c r="C978" s="4" t="s">
        <v>25</v>
      </c>
      <c r="D978" s="4" t="s">
        <v>25</v>
      </c>
      <c r="E978" s="4" t="s">
        <v>25</v>
      </c>
      <c r="F978" s="4" t="s">
        <v>25</v>
      </c>
      <c r="G978" s="4" t="s">
        <v>25</v>
      </c>
      <c r="H978" s="4"/>
      <c r="I978" s="4"/>
      <c r="J978" s="4"/>
      <c r="K978" s="4"/>
      <c r="L978" s="4"/>
      <c r="M978" s="4"/>
      <c r="N978" s="4"/>
      <c r="O978" s="4"/>
      <c r="P978" s="4"/>
    </row>
    <row r="979" spans="1:16" x14ac:dyDescent="0.25">
      <c r="A979" s="4" t="s">
        <v>261</v>
      </c>
      <c r="B979" s="4" t="s">
        <v>25</v>
      </c>
      <c r="C979" s="4" t="s">
        <v>25</v>
      </c>
      <c r="D979" s="4" t="s">
        <v>25</v>
      </c>
      <c r="E979" s="4" t="s">
        <v>25</v>
      </c>
      <c r="F979" s="4" t="s">
        <v>25</v>
      </c>
      <c r="G979" s="4" t="s">
        <v>25</v>
      </c>
      <c r="H979" s="4"/>
      <c r="I979" s="4"/>
      <c r="J979" s="4"/>
      <c r="K979" s="4"/>
      <c r="L979" s="4"/>
      <c r="M979" s="4"/>
      <c r="N979" s="4"/>
      <c r="O979" s="4"/>
      <c r="P979" s="4"/>
    </row>
    <row r="980" spans="1:16" x14ac:dyDescent="0.25">
      <c r="A980" s="4" t="s">
        <v>262</v>
      </c>
      <c r="B980" s="3">
        <v>0.37083333333333335</v>
      </c>
      <c r="C980" s="3">
        <v>0.6</v>
      </c>
      <c r="D980" s="3">
        <v>0.64027777777777783</v>
      </c>
      <c r="E980" s="3">
        <v>0.79236111111111107</v>
      </c>
      <c r="F980" s="4"/>
      <c r="G980" s="4"/>
      <c r="H980" s="3">
        <v>0.375</v>
      </c>
      <c r="I980" s="3">
        <v>0.375</v>
      </c>
      <c r="J980" s="4"/>
      <c r="K980" s="4"/>
      <c r="L980" s="4"/>
      <c r="M980" s="4"/>
      <c r="N980" s="4"/>
      <c r="O980" s="4"/>
      <c r="P980" s="4"/>
    </row>
    <row r="981" spans="1:16" x14ac:dyDescent="0.25">
      <c r="A981" s="4" t="s">
        <v>263</v>
      </c>
      <c r="B981" s="3">
        <v>0.37291666666666662</v>
      </c>
      <c r="C981" s="3">
        <v>0.54166666666666663</v>
      </c>
      <c r="D981" s="3">
        <v>0.58333333333333337</v>
      </c>
      <c r="E981" s="3">
        <v>0.79375000000000007</v>
      </c>
      <c r="F981" s="4"/>
      <c r="G981" s="4"/>
      <c r="H981" s="3">
        <v>0.375</v>
      </c>
      <c r="I981" s="3">
        <v>0.375</v>
      </c>
      <c r="J981" s="4"/>
      <c r="K981" s="4"/>
      <c r="L981" s="4"/>
      <c r="M981" s="4"/>
      <c r="N981" s="4"/>
      <c r="O981" s="4"/>
      <c r="P981" s="4"/>
    </row>
    <row r="982" spans="1:16" x14ac:dyDescent="0.25">
      <c r="A982" s="4" t="s">
        <v>264</v>
      </c>
      <c r="B982" s="3">
        <v>0.3743055555555555</v>
      </c>
      <c r="C982" s="3">
        <v>0.54722222222222217</v>
      </c>
      <c r="D982" s="3">
        <v>0.58750000000000002</v>
      </c>
      <c r="E982" s="3">
        <v>0.79236111111111107</v>
      </c>
      <c r="F982" s="4"/>
      <c r="G982" s="4"/>
      <c r="H982" s="3">
        <v>0.375</v>
      </c>
      <c r="I982" s="3">
        <v>0.375</v>
      </c>
      <c r="J982" s="4"/>
      <c r="K982" s="4"/>
      <c r="L982" s="4"/>
      <c r="M982" s="4"/>
      <c r="N982" s="4"/>
      <c r="O982" s="4"/>
      <c r="P982" s="4"/>
    </row>
    <row r="984" spans="1:16" x14ac:dyDescent="0.25">
      <c r="A984" s="7" t="s">
        <v>45</v>
      </c>
    </row>
    <row r="987" spans="1:16" x14ac:dyDescent="0.25">
      <c r="A987" s="7" t="s">
        <v>46</v>
      </c>
    </row>
    <row r="988" spans="1:16" x14ac:dyDescent="0.25">
      <c r="A988" s="7" t="s">
        <v>84</v>
      </c>
      <c r="F988" s="7" t="s">
        <v>47</v>
      </c>
    </row>
    <row r="989" spans="1:16" x14ac:dyDescent="0.25">
      <c r="F989" s="7"/>
    </row>
    <row r="993" spans="1:16" x14ac:dyDescent="0.25">
      <c r="G993" s="1" t="s">
        <v>18</v>
      </c>
    </row>
    <row r="994" spans="1:16" x14ac:dyDescent="0.25">
      <c r="A994" s="1" t="s">
        <v>1</v>
      </c>
      <c r="B994" t="s">
        <v>2</v>
      </c>
      <c r="H994" s="1" t="s">
        <v>19</v>
      </c>
      <c r="I994" s="1" t="s">
        <v>20</v>
      </c>
      <c r="J994" s="1" t="s">
        <v>21</v>
      </c>
      <c r="K994" s="1" t="s">
        <v>22</v>
      </c>
      <c r="L994" s="1" t="s">
        <v>23</v>
      </c>
      <c r="M994" s="1" t="s">
        <v>24</v>
      </c>
    </row>
    <row r="995" spans="1:16" x14ac:dyDescent="0.25">
      <c r="A995" s="1" t="s">
        <v>3</v>
      </c>
      <c r="B995" t="s">
        <v>4</v>
      </c>
      <c r="G995" s="1" t="s">
        <v>220</v>
      </c>
      <c r="H995" s="3">
        <v>0.29166666666666669</v>
      </c>
      <c r="I995" s="3">
        <v>0.5</v>
      </c>
      <c r="J995" s="3">
        <v>0.54166666666666663</v>
      </c>
      <c r="K995" s="3">
        <v>0.70833333333333337</v>
      </c>
      <c r="L995" s="4"/>
      <c r="M995" s="4"/>
    </row>
    <row r="996" spans="1:16" x14ac:dyDescent="0.25">
      <c r="A996" s="1" t="s">
        <v>5</v>
      </c>
      <c r="B996" t="s">
        <v>6</v>
      </c>
      <c r="G996" s="1" t="s">
        <v>221</v>
      </c>
      <c r="H996" s="3">
        <v>0.29166666666666669</v>
      </c>
      <c r="I996" s="3">
        <v>0.5</v>
      </c>
      <c r="J996" s="3">
        <v>0.54166666666666663</v>
      </c>
      <c r="K996" s="3">
        <v>0.70833333333333337</v>
      </c>
      <c r="L996" s="4"/>
      <c r="M996" s="4"/>
    </row>
    <row r="997" spans="1:16" x14ac:dyDescent="0.25">
      <c r="G997" s="1" t="s">
        <v>222</v>
      </c>
      <c r="H997" s="3">
        <v>0.29166666666666669</v>
      </c>
      <c r="I997" s="3">
        <v>0.5</v>
      </c>
      <c r="J997" s="3">
        <v>0.54166666666666663</v>
      </c>
      <c r="K997" s="3">
        <v>0.70833333333333337</v>
      </c>
      <c r="L997" s="4"/>
      <c r="M997" s="4"/>
    </row>
    <row r="998" spans="1:16" x14ac:dyDescent="0.25">
      <c r="A998" s="1" t="s">
        <v>7</v>
      </c>
      <c r="B998" t="s">
        <v>88</v>
      </c>
      <c r="G998" s="1" t="s">
        <v>223</v>
      </c>
      <c r="H998" s="3">
        <v>0.29166666666666669</v>
      </c>
      <c r="I998" s="3">
        <v>0.5</v>
      </c>
      <c r="J998" s="3">
        <v>0.54166666666666663</v>
      </c>
      <c r="K998" s="3">
        <v>0.70833333333333337</v>
      </c>
      <c r="L998" s="4"/>
      <c r="M998" s="4"/>
    </row>
    <row r="999" spans="1:16" x14ac:dyDescent="0.25">
      <c r="A999" s="1" t="s">
        <v>9</v>
      </c>
      <c r="B999" t="s">
        <v>89</v>
      </c>
      <c r="D999" s="1" t="s">
        <v>11</v>
      </c>
      <c r="E999" t="s">
        <v>89</v>
      </c>
      <c r="G999" s="1" t="s">
        <v>224</v>
      </c>
      <c r="H999" s="3">
        <v>0.29166666666666669</v>
      </c>
      <c r="I999" s="3">
        <v>0.5</v>
      </c>
      <c r="J999" s="3">
        <v>0.54166666666666663</v>
      </c>
      <c r="K999" s="3">
        <v>0.66666666666666663</v>
      </c>
      <c r="L999" s="4"/>
      <c r="M999" s="4"/>
    </row>
    <row r="1000" spans="1:16" x14ac:dyDescent="0.25">
      <c r="A1000" s="1" t="s">
        <v>12</v>
      </c>
      <c r="D1000" s="1" t="s">
        <v>13</v>
      </c>
      <c r="E1000" s="2">
        <v>42499</v>
      </c>
      <c r="G1000" s="1" t="s">
        <v>225</v>
      </c>
      <c r="H1000" s="4" t="s">
        <v>25</v>
      </c>
      <c r="I1000" s="4" t="s">
        <v>25</v>
      </c>
      <c r="J1000" s="4" t="s">
        <v>25</v>
      </c>
      <c r="K1000" s="4" t="s">
        <v>25</v>
      </c>
      <c r="L1000" s="4" t="s">
        <v>25</v>
      </c>
      <c r="M1000" s="4" t="s">
        <v>25</v>
      </c>
    </row>
    <row r="1001" spans="1:16" x14ac:dyDescent="0.25">
      <c r="A1001" s="1" t="s">
        <v>14</v>
      </c>
      <c r="B1001" t="s">
        <v>50</v>
      </c>
      <c r="G1001" s="1" t="s">
        <v>226</v>
      </c>
      <c r="H1001" s="4" t="s">
        <v>25</v>
      </c>
      <c r="I1001" s="4" t="s">
        <v>25</v>
      </c>
      <c r="J1001" s="4" t="s">
        <v>25</v>
      </c>
      <c r="K1001" s="4" t="s">
        <v>25</v>
      </c>
      <c r="L1001" s="4" t="s">
        <v>25</v>
      </c>
      <c r="M1001" s="4" t="s">
        <v>25</v>
      </c>
    </row>
    <row r="1002" spans="1:16" x14ac:dyDescent="0.25">
      <c r="A1002" s="1" t="s">
        <v>16</v>
      </c>
      <c r="B1002" t="s">
        <v>17</v>
      </c>
    </row>
    <row r="1005" spans="1:16" x14ac:dyDescent="0.25">
      <c r="A1005" s="5" t="s">
        <v>26</v>
      </c>
      <c r="B1005" s="5" t="s">
        <v>27</v>
      </c>
      <c r="C1005" s="5" t="s">
        <v>28</v>
      </c>
      <c r="D1005" s="5" t="s">
        <v>29</v>
      </c>
      <c r="E1005" s="5" t="s">
        <v>30</v>
      </c>
      <c r="F1005" s="5" t="s">
        <v>31</v>
      </c>
      <c r="G1005" s="5" t="s">
        <v>32</v>
      </c>
      <c r="H1005" s="5" t="s">
        <v>33</v>
      </c>
      <c r="I1005" s="5" t="s">
        <v>34</v>
      </c>
      <c r="J1005" s="5" t="s">
        <v>35</v>
      </c>
      <c r="K1005" s="5" t="s">
        <v>36</v>
      </c>
      <c r="L1005" s="5" t="s">
        <v>37</v>
      </c>
      <c r="M1005" s="5" t="s">
        <v>38</v>
      </c>
      <c r="N1005" s="5" t="s">
        <v>39</v>
      </c>
      <c r="O1005" s="5" t="s">
        <v>40</v>
      </c>
      <c r="P1005" s="5" t="s">
        <v>41</v>
      </c>
    </row>
    <row r="1006" spans="1:16" x14ac:dyDescent="0.25">
      <c r="A1006" s="4"/>
      <c r="B1006" s="4"/>
      <c r="C1006" s="4"/>
      <c r="D1006" s="4"/>
      <c r="E1006" s="4"/>
      <c r="F1006" s="4"/>
      <c r="G1006" s="4"/>
      <c r="H1006" s="6">
        <v>8.0833333333333339</v>
      </c>
      <c r="I1006" s="6">
        <v>8.0604166666666668</v>
      </c>
      <c r="J1006" s="6">
        <v>1.4555555555555555</v>
      </c>
      <c r="K1006" s="3">
        <v>0</v>
      </c>
      <c r="L1006" s="3">
        <v>0</v>
      </c>
      <c r="M1006" s="3">
        <v>0</v>
      </c>
      <c r="N1006" s="3">
        <v>0</v>
      </c>
      <c r="O1006" s="3">
        <v>2.2916666666666669E-2</v>
      </c>
      <c r="P1006" s="3">
        <v>4.7222222222222221E-2</v>
      </c>
    </row>
    <row r="1007" spans="1:16" x14ac:dyDescent="0.25">
      <c r="A1007" s="4" t="s">
        <v>227</v>
      </c>
      <c r="B1007" s="3">
        <v>0.28819444444444448</v>
      </c>
      <c r="C1007" s="3">
        <v>0.5180555555555556</v>
      </c>
      <c r="D1007" s="3">
        <v>0.55694444444444446</v>
      </c>
      <c r="E1007" s="3">
        <v>0.70416666666666661</v>
      </c>
      <c r="F1007" s="4"/>
      <c r="G1007" s="4"/>
      <c r="H1007" s="3">
        <v>0.375</v>
      </c>
      <c r="I1007" s="3">
        <v>0.375</v>
      </c>
      <c r="J1007" s="4"/>
      <c r="K1007" s="4"/>
      <c r="L1007" s="4"/>
      <c r="M1007" s="4"/>
      <c r="N1007" s="4"/>
      <c r="O1007" s="4"/>
      <c r="P1007" s="4"/>
    </row>
    <row r="1008" spans="1:16" x14ac:dyDescent="0.25">
      <c r="A1008" s="4" t="s">
        <v>228</v>
      </c>
      <c r="B1008" s="3">
        <v>0.2902777777777778</v>
      </c>
      <c r="C1008" s="3">
        <v>0.51944444444444449</v>
      </c>
      <c r="D1008" s="3">
        <v>0.55138888888888882</v>
      </c>
      <c r="E1008" s="3">
        <v>0.70486111111111116</v>
      </c>
      <c r="F1008" s="4"/>
      <c r="G1008" s="4"/>
      <c r="H1008" s="3">
        <v>0.375</v>
      </c>
      <c r="I1008" s="3">
        <v>0.375</v>
      </c>
      <c r="J1008" s="4"/>
      <c r="K1008" s="4"/>
      <c r="L1008" s="4"/>
      <c r="M1008" s="4"/>
      <c r="N1008" s="4"/>
      <c r="O1008" s="4"/>
      <c r="P1008" s="3">
        <v>9.7222222222222224E-3</v>
      </c>
    </row>
    <row r="1009" spans="1:16" x14ac:dyDescent="0.25">
      <c r="A1009" s="4" t="s">
        <v>229</v>
      </c>
      <c r="B1009" s="3">
        <v>0.31597222222222221</v>
      </c>
      <c r="C1009" s="3">
        <v>0.51944444444444449</v>
      </c>
      <c r="D1009" s="3">
        <v>0.55555555555555558</v>
      </c>
      <c r="E1009" s="3">
        <v>0.72569444444444453</v>
      </c>
      <c r="F1009" s="4"/>
      <c r="G1009" s="4"/>
      <c r="H1009" s="3">
        <v>0.375</v>
      </c>
      <c r="I1009" s="3">
        <v>0.375</v>
      </c>
      <c r="J1009" s="4"/>
      <c r="K1009" s="4"/>
      <c r="L1009" s="4"/>
      <c r="M1009" s="4"/>
      <c r="N1009" s="4"/>
      <c r="O1009" s="4"/>
      <c r="P1009" s="4"/>
    </row>
    <row r="1010" spans="1:16" x14ac:dyDescent="0.25">
      <c r="A1010" s="4" t="s">
        <v>230</v>
      </c>
      <c r="B1010" s="3">
        <v>0.30833333333333335</v>
      </c>
      <c r="C1010" s="3">
        <v>0.52986111111111112</v>
      </c>
      <c r="D1010" s="3">
        <v>0.5708333333333333</v>
      </c>
      <c r="E1010" s="3">
        <v>0.70624999999999993</v>
      </c>
      <c r="F1010" s="4"/>
      <c r="G1010" s="4"/>
      <c r="H1010" s="3">
        <v>0.375</v>
      </c>
      <c r="I1010" s="3">
        <v>0.35902777777777778</v>
      </c>
      <c r="J1010" s="4"/>
      <c r="K1010" s="4"/>
      <c r="L1010" s="4"/>
      <c r="M1010" s="4"/>
      <c r="N1010" s="4"/>
      <c r="O1010" s="3">
        <v>1.5972222222222224E-2</v>
      </c>
      <c r="P1010" s="4"/>
    </row>
    <row r="1011" spans="1:16" x14ac:dyDescent="0.25">
      <c r="A1011" s="4" t="s">
        <v>231</v>
      </c>
      <c r="B1011" s="3">
        <v>0.28819444444444448</v>
      </c>
      <c r="C1011" s="3">
        <v>0.49722222222222223</v>
      </c>
      <c r="D1011" s="3">
        <v>0.55069444444444449</v>
      </c>
      <c r="E1011" s="3">
        <v>0.68194444444444446</v>
      </c>
      <c r="F1011" s="4"/>
      <c r="G1011" s="4"/>
      <c r="H1011" s="3">
        <v>0.33333333333333331</v>
      </c>
      <c r="I1011" s="3">
        <v>0.33333333333333331</v>
      </c>
      <c r="J1011" s="4"/>
      <c r="K1011" s="4"/>
      <c r="L1011" s="4"/>
      <c r="M1011" s="4"/>
      <c r="N1011" s="4"/>
      <c r="O1011" s="4"/>
      <c r="P1011" s="4"/>
    </row>
    <row r="1012" spans="1:16" x14ac:dyDescent="0.25">
      <c r="A1012" s="4" t="s">
        <v>232</v>
      </c>
      <c r="B1012" s="4" t="s">
        <v>25</v>
      </c>
      <c r="C1012" s="4" t="s">
        <v>25</v>
      </c>
      <c r="D1012" s="4" t="s">
        <v>25</v>
      </c>
      <c r="E1012" s="4" t="s">
        <v>25</v>
      </c>
      <c r="F1012" s="4"/>
      <c r="G1012" s="4"/>
      <c r="H1012" s="4"/>
      <c r="I1012" s="4"/>
      <c r="J1012" s="4"/>
      <c r="K1012" s="4"/>
      <c r="L1012" s="4"/>
      <c r="M1012" s="4"/>
      <c r="N1012" s="4"/>
      <c r="O1012" s="4"/>
      <c r="P1012" s="4"/>
    </row>
    <row r="1013" spans="1:16" x14ac:dyDescent="0.25">
      <c r="A1013" s="4" t="s">
        <v>233</v>
      </c>
      <c r="B1013" s="4" t="s">
        <v>25</v>
      </c>
      <c r="C1013" s="4" t="s">
        <v>25</v>
      </c>
      <c r="D1013" s="4" t="s">
        <v>25</v>
      </c>
      <c r="E1013" s="4" t="s">
        <v>25</v>
      </c>
      <c r="F1013" s="4"/>
      <c r="G1013" s="4"/>
      <c r="H1013" s="4"/>
      <c r="I1013" s="4"/>
      <c r="J1013" s="4"/>
      <c r="K1013" s="4"/>
      <c r="L1013" s="4"/>
      <c r="M1013" s="4"/>
      <c r="N1013" s="4"/>
      <c r="O1013" s="4"/>
      <c r="P1013" s="4"/>
    </row>
    <row r="1014" spans="1:16" x14ac:dyDescent="0.25">
      <c r="A1014" s="4" t="s">
        <v>234</v>
      </c>
      <c r="B1014" s="3">
        <v>0.28611111111111115</v>
      </c>
      <c r="C1014" s="3">
        <v>0.52222222222222225</v>
      </c>
      <c r="D1014" s="3">
        <v>0.56319444444444444</v>
      </c>
      <c r="E1014" s="3">
        <v>0.70624999999999993</v>
      </c>
      <c r="F1014" s="4"/>
      <c r="G1014" s="4"/>
      <c r="H1014" s="3">
        <v>0.375</v>
      </c>
      <c r="I1014" s="3">
        <v>0.375</v>
      </c>
      <c r="J1014" s="4"/>
      <c r="K1014" s="4"/>
      <c r="L1014" s="4"/>
      <c r="M1014" s="4"/>
      <c r="N1014" s="4"/>
      <c r="O1014" s="4"/>
      <c r="P1014" s="4"/>
    </row>
    <row r="1015" spans="1:16" x14ac:dyDescent="0.25">
      <c r="A1015" s="4" t="s">
        <v>235</v>
      </c>
      <c r="B1015" s="3">
        <v>0.29375000000000001</v>
      </c>
      <c r="C1015" s="3">
        <v>0.50902777777777775</v>
      </c>
      <c r="D1015" s="3">
        <v>0.54583333333333328</v>
      </c>
      <c r="E1015" s="3">
        <v>0.70416666666666661</v>
      </c>
      <c r="F1015" s="4"/>
      <c r="G1015" s="4"/>
      <c r="H1015" s="3">
        <v>0.375</v>
      </c>
      <c r="I1015" s="3">
        <v>0.375</v>
      </c>
      <c r="J1015" s="4"/>
      <c r="K1015" s="4"/>
      <c r="L1015" s="4"/>
      <c r="M1015" s="4"/>
      <c r="N1015" s="4"/>
      <c r="O1015" s="4"/>
      <c r="P1015" s="4"/>
    </row>
    <row r="1016" spans="1:16" x14ac:dyDescent="0.25">
      <c r="A1016" s="4" t="s">
        <v>236</v>
      </c>
      <c r="B1016" s="3">
        <v>0.28819444444444448</v>
      </c>
      <c r="C1016" s="3">
        <v>0.52083333333333337</v>
      </c>
      <c r="D1016" s="3">
        <v>0.56111111111111112</v>
      </c>
      <c r="E1016" s="3">
        <v>0.70486111111111116</v>
      </c>
      <c r="F1016" s="4"/>
      <c r="G1016" s="4"/>
      <c r="H1016" s="3">
        <v>0.375</v>
      </c>
      <c r="I1016" s="3">
        <v>0.375</v>
      </c>
      <c r="J1016" s="4"/>
      <c r="K1016" s="4"/>
      <c r="L1016" s="4"/>
      <c r="M1016" s="4"/>
      <c r="N1016" s="4"/>
      <c r="O1016" s="4"/>
      <c r="P1016" s="4"/>
    </row>
    <row r="1017" spans="1:16" x14ac:dyDescent="0.25">
      <c r="A1017" s="4" t="s">
        <v>237</v>
      </c>
      <c r="B1017" s="3">
        <v>0.28750000000000003</v>
      </c>
      <c r="C1017" s="3">
        <v>0.50902777777777775</v>
      </c>
      <c r="D1017" s="3">
        <v>0.53819444444444442</v>
      </c>
      <c r="E1017" s="3">
        <v>0.70972222222222225</v>
      </c>
      <c r="F1017" s="4"/>
      <c r="G1017" s="4"/>
      <c r="H1017" s="3">
        <v>0.375</v>
      </c>
      <c r="I1017" s="3">
        <v>0.375</v>
      </c>
      <c r="J1017" s="4"/>
      <c r="K1017" s="4"/>
      <c r="L1017" s="4"/>
      <c r="M1017" s="4"/>
      <c r="N1017" s="4"/>
      <c r="O1017" s="4"/>
      <c r="P1017" s="3">
        <v>1.3194444444444444E-2</v>
      </c>
    </row>
    <row r="1018" spans="1:16" x14ac:dyDescent="0.25">
      <c r="A1018" s="4" t="s">
        <v>238</v>
      </c>
      <c r="B1018" s="3">
        <v>0.28263888888888888</v>
      </c>
      <c r="C1018" s="3">
        <v>0.55694444444444446</v>
      </c>
      <c r="D1018" s="3">
        <v>0.60625000000000007</v>
      </c>
      <c r="E1018" s="3">
        <v>0.66527777777777775</v>
      </c>
      <c r="F1018" s="4"/>
      <c r="G1018" s="4"/>
      <c r="H1018" s="3">
        <v>0.33333333333333331</v>
      </c>
      <c r="I1018" s="3">
        <v>0.33333333333333331</v>
      </c>
      <c r="J1018" s="4"/>
      <c r="K1018" s="4"/>
      <c r="L1018" s="4"/>
      <c r="M1018" s="4"/>
      <c r="N1018" s="4"/>
      <c r="O1018" s="4"/>
      <c r="P1018" s="4"/>
    </row>
    <row r="1019" spans="1:16" x14ac:dyDescent="0.25">
      <c r="A1019" s="4" t="s">
        <v>239</v>
      </c>
      <c r="B1019" s="4" t="s">
        <v>25</v>
      </c>
      <c r="C1019" s="4" t="s">
        <v>25</v>
      </c>
      <c r="D1019" s="4" t="s">
        <v>25</v>
      </c>
      <c r="E1019" s="4" t="s">
        <v>25</v>
      </c>
      <c r="F1019" s="4"/>
      <c r="G1019" s="4"/>
      <c r="H1019" s="4"/>
      <c r="I1019" s="4"/>
      <c r="J1019" s="4"/>
      <c r="K1019" s="4"/>
      <c r="L1019" s="4"/>
      <c r="M1019" s="4"/>
      <c r="N1019" s="4"/>
      <c r="O1019" s="4"/>
      <c r="P1019" s="4"/>
    </row>
    <row r="1020" spans="1:16" x14ac:dyDescent="0.25">
      <c r="A1020" s="4" t="s">
        <v>240</v>
      </c>
      <c r="B1020" s="4" t="s">
        <v>25</v>
      </c>
      <c r="C1020" s="4" t="s">
        <v>25</v>
      </c>
      <c r="D1020" s="4" t="s">
        <v>25</v>
      </c>
      <c r="E1020" s="4" t="s">
        <v>25</v>
      </c>
      <c r="F1020" s="4"/>
      <c r="G1020" s="4"/>
      <c r="H1020" s="4"/>
      <c r="I1020" s="4"/>
      <c r="J1020" s="4"/>
      <c r="K1020" s="4"/>
      <c r="L1020" s="4"/>
      <c r="M1020" s="4"/>
      <c r="N1020" s="4"/>
      <c r="O1020" s="4"/>
      <c r="P1020" s="4"/>
    </row>
    <row r="1021" spans="1:16" x14ac:dyDescent="0.25">
      <c r="A1021" s="4" t="s">
        <v>241</v>
      </c>
      <c r="B1021" s="3">
        <v>0.28750000000000003</v>
      </c>
      <c r="C1021" s="3">
        <v>0.53125</v>
      </c>
      <c r="D1021" s="3">
        <v>0.57152777777777775</v>
      </c>
      <c r="E1021" s="3">
        <v>0.71458333333333324</v>
      </c>
      <c r="F1021" s="4"/>
      <c r="G1021" s="4"/>
      <c r="H1021" s="3">
        <v>0.375</v>
      </c>
      <c r="I1021" s="3">
        <v>0.375</v>
      </c>
      <c r="J1021" s="4"/>
      <c r="K1021" s="4"/>
      <c r="L1021" s="4"/>
      <c r="M1021" s="4"/>
      <c r="N1021" s="4"/>
      <c r="O1021" s="4"/>
      <c r="P1021" s="3">
        <v>1.1805555555555555E-2</v>
      </c>
    </row>
    <row r="1022" spans="1:16" x14ac:dyDescent="0.25">
      <c r="A1022" s="4" t="s">
        <v>242</v>
      </c>
      <c r="B1022" s="3">
        <v>0.28819444444444448</v>
      </c>
      <c r="C1022" s="3">
        <v>0.51388888888888895</v>
      </c>
      <c r="D1022" s="3">
        <v>0.55833333333333335</v>
      </c>
      <c r="E1022" s="3">
        <v>0.7104166666666667</v>
      </c>
      <c r="F1022" s="4"/>
      <c r="G1022" s="4"/>
      <c r="H1022" s="3">
        <v>0.375</v>
      </c>
      <c r="I1022" s="3">
        <v>0.375</v>
      </c>
      <c r="J1022" s="4"/>
      <c r="K1022" s="4"/>
      <c r="L1022" s="4"/>
      <c r="M1022" s="4"/>
      <c r="N1022" s="4"/>
      <c r="O1022" s="4"/>
      <c r="P1022" s="4"/>
    </row>
    <row r="1023" spans="1:16" x14ac:dyDescent="0.25">
      <c r="A1023" s="4" t="s">
        <v>243</v>
      </c>
      <c r="B1023" s="3">
        <v>0.2902777777777778</v>
      </c>
      <c r="C1023" s="3">
        <v>0.5708333333333333</v>
      </c>
      <c r="D1023" s="3">
        <v>0.61944444444444446</v>
      </c>
      <c r="E1023" s="3">
        <v>0.70763888888888893</v>
      </c>
      <c r="F1023" s="4"/>
      <c r="G1023" s="4"/>
      <c r="H1023" s="3">
        <v>0.375</v>
      </c>
      <c r="I1023" s="3">
        <v>0.36805555555555558</v>
      </c>
      <c r="J1023" s="4"/>
      <c r="K1023" s="4"/>
      <c r="L1023" s="4"/>
      <c r="M1023" s="4"/>
      <c r="N1023" s="4"/>
      <c r="O1023" s="3">
        <v>6.9444444444444441E-3</v>
      </c>
      <c r="P1023" s="4"/>
    </row>
    <row r="1024" spans="1:16" x14ac:dyDescent="0.25">
      <c r="A1024" s="4" t="s">
        <v>244</v>
      </c>
      <c r="B1024" s="4" t="s">
        <v>265</v>
      </c>
      <c r="C1024" s="4" t="s">
        <v>265</v>
      </c>
      <c r="D1024" s="4" t="s">
        <v>265</v>
      </c>
      <c r="E1024" s="4" t="s">
        <v>265</v>
      </c>
      <c r="F1024" s="4"/>
      <c r="G1024" s="4"/>
      <c r="H1024" s="4"/>
      <c r="I1024" s="4"/>
      <c r="J1024" s="4"/>
      <c r="K1024" s="4"/>
      <c r="L1024" s="4"/>
      <c r="M1024" s="4"/>
      <c r="N1024" s="4"/>
      <c r="O1024" s="4"/>
      <c r="P1024" s="4"/>
    </row>
    <row r="1025" spans="1:16" x14ac:dyDescent="0.25">
      <c r="A1025" s="4" t="s">
        <v>245</v>
      </c>
      <c r="B1025" s="4" t="s">
        <v>52</v>
      </c>
      <c r="C1025" s="4" t="s">
        <v>52</v>
      </c>
      <c r="D1025" s="4" t="s">
        <v>52</v>
      </c>
      <c r="E1025" s="4" t="s">
        <v>52</v>
      </c>
      <c r="F1025" s="4"/>
      <c r="G1025" s="4"/>
      <c r="H1025" s="3">
        <v>0.33333333333333331</v>
      </c>
      <c r="I1025" s="3">
        <v>0.33333333333333331</v>
      </c>
      <c r="J1025" s="3">
        <v>0.33333333333333331</v>
      </c>
      <c r="K1025" s="4"/>
      <c r="L1025" s="4"/>
      <c r="M1025" s="4"/>
      <c r="N1025" s="4"/>
      <c r="O1025" s="4"/>
      <c r="P1025" s="4"/>
    </row>
    <row r="1026" spans="1:16" x14ac:dyDescent="0.25">
      <c r="A1026" s="4" t="s">
        <v>246</v>
      </c>
      <c r="B1026" s="4" t="s">
        <v>25</v>
      </c>
      <c r="C1026" s="4" t="s">
        <v>25</v>
      </c>
      <c r="D1026" s="4" t="s">
        <v>25</v>
      </c>
      <c r="E1026" s="4" t="s">
        <v>25</v>
      </c>
      <c r="F1026" s="4"/>
      <c r="G1026" s="4"/>
      <c r="H1026" s="4"/>
      <c r="I1026" s="4"/>
      <c r="J1026" s="4"/>
      <c r="K1026" s="4"/>
      <c r="L1026" s="4"/>
      <c r="M1026" s="4"/>
      <c r="N1026" s="4"/>
      <c r="O1026" s="4"/>
      <c r="P1026" s="4"/>
    </row>
    <row r="1027" spans="1:16" x14ac:dyDescent="0.25">
      <c r="A1027" s="4" t="s">
        <v>247</v>
      </c>
      <c r="B1027" s="4" t="s">
        <v>25</v>
      </c>
      <c r="C1027" s="4" t="s">
        <v>25</v>
      </c>
      <c r="D1027" s="4" t="s">
        <v>25</v>
      </c>
      <c r="E1027" s="4" t="s">
        <v>25</v>
      </c>
      <c r="F1027" s="4"/>
      <c r="G1027" s="4"/>
      <c r="H1027" s="4"/>
      <c r="I1027" s="4"/>
      <c r="J1027" s="4"/>
      <c r="K1027" s="4"/>
      <c r="L1027" s="4"/>
      <c r="M1027" s="4"/>
      <c r="N1027" s="4"/>
      <c r="O1027" s="4"/>
      <c r="P1027" s="4"/>
    </row>
    <row r="1028" spans="1:16" x14ac:dyDescent="0.25">
      <c r="A1028" s="4" t="s">
        <v>248</v>
      </c>
      <c r="B1028" s="3">
        <v>0.29444444444444445</v>
      </c>
      <c r="C1028" s="3">
        <v>0.50624999999999998</v>
      </c>
      <c r="D1028" s="3">
        <v>0.5493055555555556</v>
      </c>
      <c r="E1028" s="3">
        <v>0.70694444444444438</v>
      </c>
      <c r="F1028" s="4"/>
      <c r="G1028" s="4"/>
      <c r="H1028" s="3">
        <v>0.375</v>
      </c>
      <c r="I1028" s="3">
        <v>0.375</v>
      </c>
      <c r="J1028" s="4"/>
      <c r="K1028" s="4"/>
      <c r="L1028" s="4"/>
      <c r="M1028" s="4"/>
      <c r="N1028" s="4"/>
      <c r="O1028" s="4"/>
      <c r="P1028" s="4"/>
    </row>
    <row r="1029" spans="1:16" x14ac:dyDescent="0.25">
      <c r="A1029" s="4" t="s">
        <v>249</v>
      </c>
      <c r="B1029" s="3">
        <v>0.28611111111111115</v>
      </c>
      <c r="C1029" s="3">
        <v>0.5756944444444444</v>
      </c>
      <c r="D1029" s="4" t="s">
        <v>52</v>
      </c>
      <c r="E1029" s="4" t="s">
        <v>52</v>
      </c>
      <c r="F1029" s="4"/>
      <c r="G1029" s="4"/>
      <c r="H1029" s="3">
        <v>0.375</v>
      </c>
      <c r="I1029" s="3">
        <v>0.375</v>
      </c>
      <c r="J1029" s="3">
        <v>8.5416666666666655E-2</v>
      </c>
      <c r="K1029" s="4"/>
      <c r="L1029" s="4"/>
      <c r="M1029" s="4"/>
      <c r="N1029" s="4"/>
      <c r="O1029" s="4"/>
      <c r="P1029" s="4"/>
    </row>
    <row r="1030" spans="1:16" x14ac:dyDescent="0.25">
      <c r="A1030" s="4" t="s">
        <v>251</v>
      </c>
      <c r="B1030" s="4" t="s">
        <v>52</v>
      </c>
      <c r="C1030" s="4" t="s">
        <v>52</v>
      </c>
      <c r="D1030" s="4" t="s">
        <v>52</v>
      </c>
      <c r="E1030" s="4" t="s">
        <v>52</v>
      </c>
      <c r="F1030" s="4"/>
      <c r="G1030" s="4"/>
      <c r="H1030" s="3">
        <v>0.375</v>
      </c>
      <c r="I1030" s="3">
        <v>0.375</v>
      </c>
      <c r="J1030" s="3">
        <v>0.375</v>
      </c>
      <c r="K1030" s="4"/>
      <c r="L1030" s="4"/>
      <c r="M1030" s="4"/>
      <c r="N1030" s="4"/>
      <c r="O1030" s="4"/>
      <c r="P1030" s="4"/>
    </row>
    <row r="1031" spans="1:16" x14ac:dyDescent="0.25">
      <c r="A1031" s="4" t="s">
        <v>256</v>
      </c>
      <c r="B1031" s="4" t="s">
        <v>52</v>
      </c>
      <c r="C1031" s="4" t="s">
        <v>52</v>
      </c>
      <c r="D1031" s="4" t="s">
        <v>52</v>
      </c>
      <c r="E1031" s="4" t="s">
        <v>52</v>
      </c>
      <c r="F1031" s="4"/>
      <c r="G1031" s="4"/>
      <c r="H1031" s="3">
        <v>0.375</v>
      </c>
      <c r="I1031" s="3">
        <v>0.375</v>
      </c>
      <c r="J1031" s="3">
        <v>0.375</v>
      </c>
      <c r="K1031" s="4"/>
      <c r="L1031" s="4"/>
      <c r="M1031" s="4"/>
      <c r="N1031" s="4"/>
      <c r="O1031" s="4"/>
      <c r="P1031" s="4"/>
    </row>
    <row r="1032" spans="1:16" x14ac:dyDescent="0.25">
      <c r="A1032" s="4" t="s">
        <v>259</v>
      </c>
      <c r="B1032" s="3">
        <v>0.56388888888888888</v>
      </c>
      <c r="C1032" s="3">
        <v>0.61041666666666672</v>
      </c>
      <c r="D1032" s="4" t="s">
        <v>52</v>
      </c>
      <c r="E1032" s="4" t="s">
        <v>52</v>
      </c>
      <c r="F1032" s="4"/>
      <c r="G1032" s="4"/>
      <c r="H1032" s="3">
        <v>0.33333333333333331</v>
      </c>
      <c r="I1032" s="3">
        <v>0.33333333333333331</v>
      </c>
      <c r="J1032" s="3">
        <v>0.28680555555555554</v>
      </c>
      <c r="K1032" s="4"/>
      <c r="L1032" s="4"/>
      <c r="M1032" s="4"/>
      <c r="N1032" s="4"/>
      <c r="O1032" s="4"/>
      <c r="P1032" s="4"/>
    </row>
    <row r="1033" spans="1:16" x14ac:dyDescent="0.25">
      <c r="A1033" s="4" t="s">
        <v>260</v>
      </c>
      <c r="B1033" s="4" t="s">
        <v>25</v>
      </c>
      <c r="C1033" s="4" t="s">
        <v>25</v>
      </c>
      <c r="D1033" s="4" t="s">
        <v>25</v>
      </c>
      <c r="E1033" s="4" t="s">
        <v>25</v>
      </c>
      <c r="F1033" s="4"/>
      <c r="G1033" s="4"/>
      <c r="H1033" s="4"/>
      <c r="I1033" s="4"/>
      <c r="J1033" s="4"/>
      <c r="K1033" s="4"/>
      <c r="L1033" s="4"/>
      <c r="M1033" s="4"/>
      <c r="N1033" s="4"/>
      <c r="O1033" s="4"/>
      <c r="P1033" s="4"/>
    </row>
    <row r="1034" spans="1:16" x14ac:dyDescent="0.25">
      <c r="A1034" s="4" t="s">
        <v>261</v>
      </c>
      <c r="B1034" s="4" t="s">
        <v>25</v>
      </c>
      <c r="C1034" s="4" t="s">
        <v>25</v>
      </c>
      <c r="D1034" s="4" t="s">
        <v>25</v>
      </c>
      <c r="E1034" s="4" t="s">
        <v>25</v>
      </c>
      <c r="F1034" s="4"/>
      <c r="G1034" s="4"/>
      <c r="H1034" s="4"/>
      <c r="I1034" s="4"/>
      <c r="J1034" s="4"/>
      <c r="K1034" s="4"/>
      <c r="L1034" s="4"/>
      <c r="M1034" s="4"/>
      <c r="N1034" s="4"/>
      <c r="O1034" s="4"/>
      <c r="P1034" s="4"/>
    </row>
    <row r="1035" spans="1:16" x14ac:dyDescent="0.25">
      <c r="A1035" s="4" t="s">
        <v>262</v>
      </c>
      <c r="B1035" s="3">
        <v>0.28611111111111115</v>
      </c>
      <c r="C1035" s="3">
        <v>0.50694444444444442</v>
      </c>
      <c r="D1035" s="3">
        <v>0.54236111111111118</v>
      </c>
      <c r="E1035" s="3">
        <v>0.70624999999999993</v>
      </c>
      <c r="F1035" s="4"/>
      <c r="G1035" s="4"/>
      <c r="H1035" s="3">
        <v>0.375</v>
      </c>
      <c r="I1035" s="3">
        <v>0.375</v>
      </c>
      <c r="J1035" s="4"/>
      <c r="K1035" s="4"/>
      <c r="L1035" s="4"/>
      <c r="M1035" s="4"/>
      <c r="N1035" s="4"/>
      <c r="O1035" s="4"/>
      <c r="P1035" s="3">
        <v>1.2499999999999999E-2</v>
      </c>
    </row>
    <row r="1036" spans="1:16" x14ac:dyDescent="0.25">
      <c r="A1036" s="4" t="s">
        <v>263</v>
      </c>
      <c r="B1036" s="3">
        <v>0.28750000000000003</v>
      </c>
      <c r="C1036" s="3">
        <v>0.5083333333333333</v>
      </c>
      <c r="D1036" s="3">
        <v>0.55069444444444449</v>
      </c>
      <c r="E1036" s="3">
        <v>0.70624999999999993</v>
      </c>
      <c r="F1036" s="4"/>
      <c r="G1036" s="4"/>
      <c r="H1036" s="3">
        <v>0.375</v>
      </c>
      <c r="I1036" s="3">
        <v>0.375</v>
      </c>
      <c r="J1036" s="4"/>
      <c r="K1036" s="4"/>
      <c r="L1036" s="4"/>
      <c r="M1036" s="4"/>
      <c r="N1036" s="4"/>
      <c r="O1036" s="4"/>
      <c r="P1036" s="4"/>
    </row>
    <row r="1037" spans="1:16" x14ac:dyDescent="0.25">
      <c r="A1037" s="4" t="s">
        <v>264</v>
      </c>
      <c r="B1037" s="3">
        <v>0.28611111111111115</v>
      </c>
      <c r="C1037" s="3">
        <v>0.5625</v>
      </c>
      <c r="D1037" s="3">
        <v>0.61527777777777781</v>
      </c>
      <c r="E1037" s="3">
        <v>0.70763888888888893</v>
      </c>
      <c r="F1037" s="4"/>
      <c r="G1037" s="4"/>
      <c r="H1037" s="3">
        <v>0.375</v>
      </c>
      <c r="I1037" s="3">
        <v>0.375</v>
      </c>
      <c r="J1037" s="4"/>
      <c r="K1037" s="4"/>
      <c r="L1037" s="4"/>
      <c r="M1037" s="4"/>
      <c r="N1037" s="4"/>
      <c r="O1037" s="4"/>
      <c r="P1037" s="4"/>
    </row>
    <row r="1039" spans="1:16" x14ac:dyDescent="0.25">
      <c r="A1039" s="7" t="s">
        <v>45</v>
      </c>
    </row>
    <row r="1042" spans="1:13" x14ac:dyDescent="0.25">
      <c r="A1042" s="7" t="s">
        <v>46</v>
      </c>
    </row>
    <row r="1043" spans="1:13" x14ac:dyDescent="0.25">
      <c r="A1043" s="7" t="s">
        <v>88</v>
      </c>
      <c r="F1043" s="7" t="s">
        <v>47</v>
      </c>
    </row>
    <row r="1044" spans="1:13" x14ac:dyDescent="0.25">
      <c r="F1044" s="7"/>
    </row>
    <row r="1048" spans="1:13" x14ac:dyDescent="0.25">
      <c r="G1048" s="1" t="s">
        <v>18</v>
      </c>
    </row>
    <row r="1049" spans="1:13" x14ac:dyDescent="0.25">
      <c r="A1049" s="1" t="s">
        <v>1</v>
      </c>
      <c r="B1049" t="s">
        <v>2</v>
      </c>
      <c r="H1049" s="1" t="s">
        <v>19</v>
      </c>
      <c r="I1049" s="1" t="s">
        <v>20</v>
      </c>
      <c r="J1049" s="1" t="s">
        <v>21</v>
      </c>
      <c r="K1049" s="1" t="s">
        <v>22</v>
      </c>
      <c r="L1049" s="1" t="s">
        <v>23</v>
      </c>
      <c r="M1049" s="1" t="s">
        <v>24</v>
      </c>
    </row>
    <row r="1050" spans="1:13" x14ac:dyDescent="0.25">
      <c r="A1050" s="1" t="s">
        <v>3</v>
      </c>
      <c r="B1050" t="s">
        <v>4</v>
      </c>
      <c r="G1050" s="1" t="s">
        <v>220</v>
      </c>
      <c r="H1050" s="3">
        <v>0.33333333333333331</v>
      </c>
      <c r="I1050" s="3">
        <v>0.5</v>
      </c>
      <c r="J1050" s="3">
        <v>0.54166666666666663</v>
      </c>
      <c r="K1050" s="3">
        <v>0.70833333333333337</v>
      </c>
      <c r="L1050" s="4"/>
      <c r="M1050" s="4"/>
    </row>
    <row r="1051" spans="1:13" x14ac:dyDescent="0.25">
      <c r="A1051" s="1" t="s">
        <v>5</v>
      </c>
      <c r="B1051" t="s">
        <v>6</v>
      </c>
      <c r="G1051" s="1" t="s">
        <v>221</v>
      </c>
      <c r="H1051" s="3">
        <v>0.33333333333333331</v>
      </c>
      <c r="I1051" s="3">
        <v>0.5</v>
      </c>
      <c r="J1051" s="3">
        <v>0.54166666666666663</v>
      </c>
      <c r="K1051" s="3">
        <v>0.75</v>
      </c>
      <c r="L1051" s="4"/>
      <c r="M1051" s="4"/>
    </row>
    <row r="1052" spans="1:13" x14ac:dyDescent="0.25">
      <c r="G1052" s="1" t="s">
        <v>222</v>
      </c>
      <c r="H1052" s="3">
        <v>0.33333333333333331</v>
      </c>
      <c r="I1052" s="3">
        <v>0.5</v>
      </c>
      <c r="J1052" s="3">
        <v>0.54166666666666663</v>
      </c>
      <c r="K1052" s="3">
        <v>0.75</v>
      </c>
      <c r="L1052" s="4"/>
      <c r="M1052" s="4"/>
    </row>
    <row r="1053" spans="1:13" x14ac:dyDescent="0.25">
      <c r="A1053" s="1" t="s">
        <v>7</v>
      </c>
      <c r="B1053" t="s">
        <v>90</v>
      </c>
      <c r="G1053" s="1" t="s">
        <v>223</v>
      </c>
      <c r="H1053" s="3">
        <v>0.33333333333333331</v>
      </c>
      <c r="I1053" s="3">
        <v>0.5</v>
      </c>
      <c r="J1053" s="3">
        <v>0.54166666666666663</v>
      </c>
      <c r="K1053" s="3">
        <v>0.75</v>
      </c>
      <c r="L1053" s="4"/>
      <c r="M1053" s="4"/>
    </row>
    <row r="1054" spans="1:13" x14ac:dyDescent="0.25">
      <c r="A1054" s="1" t="s">
        <v>9</v>
      </c>
      <c r="B1054" t="s">
        <v>91</v>
      </c>
      <c r="D1054" s="1" t="s">
        <v>11</v>
      </c>
      <c r="E1054" t="s">
        <v>91</v>
      </c>
      <c r="G1054" s="1" t="s">
        <v>224</v>
      </c>
      <c r="H1054" s="3">
        <v>0.33333333333333331</v>
      </c>
      <c r="I1054" s="3">
        <v>0.5</v>
      </c>
      <c r="J1054" s="3">
        <v>0.54166666666666663</v>
      </c>
      <c r="K1054" s="3">
        <v>0.75</v>
      </c>
      <c r="L1054" s="4"/>
      <c r="M1054" s="4"/>
    </row>
    <row r="1055" spans="1:13" x14ac:dyDescent="0.25">
      <c r="A1055" s="1" t="s">
        <v>12</v>
      </c>
      <c r="D1055" s="1" t="s">
        <v>13</v>
      </c>
      <c r="E1055" s="2">
        <v>42506</v>
      </c>
      <c r="G1055" s="1" t="s">
        <v>225</v>
      </c>
      <c r="H1055" s="4" t="s">
        <v>25</v>
      </c>
      <c r="I1055" s="4" t="s">
        <v>25</v>
      </c>
      <c r="J1055" s="4" t="s">
        <v>25</v>
      </c>
      <c r="K1055" s="4" t="s">
        <v>25</v>
      </c>
      <c r="L1055" s="4" t="s">
        <v>25</v>
      </c>
      <c r="M1055" s="4" t="s">
        <v>25</v>
      </c>
    </row>
    <row r="1056" spans="1:13" x14ac:dyDescent="0.25">
      <c r="A1056" s="1" t="s">
        <v>14</v>
      </c>
      <c r="B1056" t="s">
        <v>58</v>
      </c>
      <c r="G1056" s="1" t="s">
        <v>226</v>
      </c>
      <c r="H1056" s="4" t="s">
        <v>25</v>
      </c>
      <c r="I1056" s="4" t="s">
        <v>25</v>
      </c>
      <c r="J1056" s="4" t="s">
        <v>25</v>
      </c>
      <c r="K1056" s="4" t="s">
        <v>25</v>
      </c>
      <c r="L1056" s="4" t="s">
        <v>25</v>
      </c>
      <c r="M1056" s="4" t="s">
        <v>25</v>
      </c>
    </row>
    <row r="1057" spans="1:16" x14ac:dyDescent="0.25">
      <c r="A1057" s="1" t="s">
        <v>16</v>
      </c>
      <c r="B1057" t="s">
        <v>17</v>
      </c>
    </row>
    <row r="1060" spans="1:16" x14ac:dyDescent="0.25">
      <c r="A1060" s="5" t="s">
        <v>26</v>
      </c>
      <c r="B1060" s="5" t="s">
        <v>27</v>
      </c>
      <c r="C1060" s="5" t="s">
        <v>28</v>
      </c>
      <c r="D1060" s="5" t="s">
        <v>29</v>
      </c>
      <c r="E1060" s="5" t="s">
        <v>30</v>
      </c>
      <c r="F1060" s="5" t="s">
        <v>31</v>
      </c>
      <c r="G1060" s="5" t="s">
        <v>32</v>
      </c>
      <c r="H1060" s="5" t="s">
        <v>33</v>
      </c>
      <c r="I1060" s="5" t="s">
        <v>34</v>
      </c>
      <c r="J1060" s="5" t="s">
        <v>35</v>
      </c>
      <c r="K1060" s="5" t="s">
        <v>36</v>
      </c>
      <c r="L1060" s="5" t="s">
        <v>37</v>
      </c>
      <c r="M1060" s="5" t="s">
        <v>38</v>
      </c>
      <c r="N1060" s="5" t="s">
        <v>39</v>
      </c>
      <c r="O1060" s="5" t="s">
        <v>40</v>
      </c>
      <c r="P1060" s="5" t="s">
        <v>41</v>
      </c>
    </row>
    <row r="1061" spans="1:16" x14ac:dyDescent="0.25">
      <c r="A1061" s="4"/>
      <c r="B1061" s="4"/>
      <c r="C1061" s="4"/>
      <c r="D1061" s="4"/>
      <c r="E1061" s="4"/>
      <c r="F1061" s="4"/>
      <c r="G1061" s="4"/>
      <c r="H1061" s="6">
        <v>8.0416666666666661</v>
      </c>
      <c r="I1061" s="6">
        <v>8.0333333333333332</v>
      </c>
      <c r="J1061" s="6">
        <v>1.5</v>
      </c>
      <c r="K1061" s="3">
        <v>0</v>
      </c>
      <c r="L1061" s="3">
        <v>0</v>
      </c>
      <c r="M1061" s="3">
        <v>0</v>
      </c>
      <c r="N1061" s="3">
        <v>0</v>
      </c>
      <c r="O1061" s="3">
        <v>8.3333333333333332E-3</v>
      </c>
      <c r="P1061" s="3">
        <v>0.40069444444444446</v>
      </c>
    </row>
    <row r="1062" spans="1:16" x14ac:dyDescent="0.25">
      <c r="A1062" s="4" t="s">
        <v>227</v>
      </c>
      <c r="B1062" s="3">
        <v>0.33263888888888887</v>
      </c>
      <c r="C1062" s="3">
        <v>0.54166666666666663</v>
      </c>
      <c r="D1062" s="3">
        <v>0.58333333333333337</v>
      </c>
      <c r="E1062" s="3">
        <v>0.71944444444444444</v>
      </c>
      <c r="F1062" s="4"/>
      <c r="G1062" s="4"/>
      <c r="H1062" s="3">
        <v>0.33333333333333331</v>
      </c>
      <c r="I1062" s="3">
        <v>0.33333333333333331</v>
      </c>
      <c r="J1062" s="4"/>
      <c r="K1062" s="4"/>
      <c r="L1062" s="4"/>
      <c r="M1062" s="4"/>
      <c r="N1062" s="4"/>
      <c r="O1062" s="4"/>
      <c r="P1062" s="3">
        <v>1.1111111111111112E-2</v>
      </c>
    </row>
    <row r="1063" spans="1:16" x14ac:dyDescent="0.25">
      <c r="A1063" s="4" t="s">
        <v>228</v>
      </c>
      <c r="B1063" s="3">
        <v>0.33611111111111108</v>
      </c>
      <c r="C1063" s="3">
        <v>0.49861111111111112</v>
      </c>
      <c r="D1063" s="3">
        <v>0.53680555555555554</v>
      </c>
      <c r="E1063" s="3">
        <v>0.75069444444444444</v>
      </c>
      <c r="F1063" s="4"/>
      <c r="G1063" s="4"/>
      <c r="H1063" s="3">
        <v>0.375</v>
      </c>
      <c r="I1063" s="3">
        <v>0.375</v>
      </c>
      <c r="J1063" s="4"/>
      <c r="K1063" s="4"/>
      <c r="L1063" s="4"/>
      <c r="M1063" s="4"/>
      <c r="N1063" s="4"/>
      <c r="O1063" s="4"/>
      <c r="P1063" s="4"/>
    </row>
    <row r="1064" spans="1:16" x14ac:dyDescent="0.25">
      <c r="A1064" s="4" t="s">
        <v>229</v>
      </c>
      <c r="B1064" s="3">
        <v>0.33333333333333331</v>
      </c>
      <c r="C1064" s="3">
        <v>0.49444444444444446</v>
      </c>
      <c r="D1064" s="3">
        <v>0.53541666666666665</v>
      </c>
      <c r="E1064" s="3">
        <v>0.76250000000000007</v>
      </c>
      <c r="F1064" s="4"/>
      <c r="G1064" s="4"/>
      <c r="H1064" s="3">
        <v>0.375</v>
      </c>
      <c r="I1064" s="3">
        <v>0.375</v>
      </c>
      <c r="J1064" s="4"/>
      <c r="K1064" s="4"/>
      <c r="L1064" s="4"/>
      <c r="M1064" s="4"/>
      <c r="N1064" s="4"/>
      <c r="O1064" s="4"/>
      <c r="P1064" s="3">
        <v>1.3194444444444444E-2</v>
      </c>
    </row>
    <row r="1065" spans="1:16" x14ac:dyDescent="0.25">
      <c r="A1065" s="4" t="s">
        <v>230</v>
      </c>
      <c r="B1065" s="3">
        <v>0.34027777777777773</v>
      </c>
      <c r="C1065" s="3">
        <v>0.48888888888888887</v>
      </c>
      <c r="D1065" s="3">
        <v>0.53194444444444444</v>
      </c>
      <c r="E1065" s="3">
        <v>0.75347222222222221</v>
      </c>
      <c r="F1065" s="4"/>
      <c r="G1065" s="4"/>
      <c r="H1065" s="3">
        <v>0.375</v>
      </c>
      <c r="I1065" s="3">
        <v>0.3666666666666667</v>
      </c>
      <c r="J1065" s="4"/>
      <c r="K1065" s="4"/>
      <c r="L1065" s="4"/>
      <c r="M1065" s="4"/>
      <c r="N1065" s="4"/>
      <c r="O1065" s="3">
        <v>8.3333333333333332E-3</v>
      </c>
      <c r="P1065" s="4"/>
    </row>
    <row r="1066" spans="1:16" x14ac:dyDescent="0.25">
      <c r="A1066" s="4" t="s">
        <v>231</v>
      </c>
      <c r="B1066" s="3">
        <v>0.33680555555555558</v>
      </c>
      <c r="C1066" s="3">
        <v>0.50902777777777775</v>
      </c>
      <c r="D1066" s="3">
        <v>0.5493055555555556</v>
      </c>
      <c r="E1066" s="3">
        <v>0.75416666666666676</v>
      </c>
      <c r="F1066" s="4"/>
      <c r="G1066" s="4"/>
      <c r="H1066" s="3">
        <v>0.375</v>
      </c>
      <c r="I1066" s="3">
        <v>0.375</v>
      </c>
      <c r="J1066" s="4"/>
      <c r="K1066" s="4"/>
      <c r="L1066" s="4"/>
      <c r="M1066" s="4"/>
      <c r="N1066" s="4"/>
      <c r="O1066" s="4"/>
      <c r="P1066" s="4"/>
    </row>
    <row r="1067" spans="1:16" x14ac:dyDescent="0.25">
      <c r="A1067" s="4" t="s">
        <v>232</v>
      </c>
      <c r="B1067" s="4" t="s">
        <v>25</v>
      </c>
      <c r="C1067" s="4" t="s">
        <v>25</v>
      </c>
      <c r="D1067" s="4" t="s">
        <v>25</v>
      </c>
      <c r="E1067" s="4" t="s">
        <v>25</v>
      </c>
      <c r="F1067" s="4" t="s">
        <v>25</v>
      </c>
      <c r="G1067" s="4" t="s">
        <v>25</v>
      </c>
      <c r="H1067" s="4"/>
      <c r="I1067" s="4"/>
      <c r="J1067" s="4"/>
      <c r="K1067" s="4"/>
      <c r="L1067" s="4"/>
      <c r="M1067" s="4"/>
      <c r="N1067" s="4"/>
      <c r="O1067" s="4"/>
      <c r="P1067" s="4"/>
    </row>
    <row r="1068" spans="1:16" x14ac:dyDescent="0.25">
      <c r="A1068" s="4" t="s">
        <v>233</v>
      </c>
      <c r="B1068" s="4" t="s">
        <v>25</v>
      </c>
      <c r="C1068" s="4" t="s">
        <v>25</v>
      </c>
      <c r="D1068" s="4" t="s">
        <v>25</v>
      </c>
      <c r="E1068" s="4" t="s">
        <v>25</v>
      </c>
      <c r="F1068" s="4" t="s">
        <v>25</v>
      </c>
      <c r="G1068" s="4" t="s">
        <v>25</v>
      </c>
      <c r="H1068" s="4"/>
      <c r="I1068" s="4"/>
      <c r="J1068" s="4"/>
      <c r="K1068" s="4"/>
      <c r="L1068" s="4"/>
      <c r="M1068" s="4"/>
      <c r="N1068" s="4"/>
      <c r="O1068" s="4"/>
      <c r="P1068" s="4"/>
    </row>
    <row r="1069" spans="1:16" x14ac:dyDescent="0.25">
      <c r="A1069" s="4" t="s">
        <v>234</v>
      </c>
      <c r="B1069" s="3">
        <v>0.48958333333333331</v>
      </c>
      <c r="C1069" s="3">
        <v>0.51527777777777783</v>
      </c>
      <c r="D1069" s="3">
        <v>0.55486111111111114</v>
      </c>
      <c r="E1069" s="3">
        <v>0.86597222222222225</v>
      </c>
      <c r="F1069" s="4"/>
      <c r="G1069" s="4"/>
      <c r="H1069" s="3">
        <v>0.33333333333333331</v>
      </c>
      <c r="I1069" s="3">
        <v>0.33333333333333331</v>
      </c>
      <c r="J1069" s="4"/>
      <c r="K1069" s="4"/>
      <c r="L1069" s="4"/>
      <c r="M1069" s="4"/>
      <c r="N1069" s="4"/>
      <c r="O1069" s="4"/>
      <c r="P1069" s="4"/>
    </row>
    <row r="1070" spans="1:16" x14ac:dyDescent="0.25">
      <c r="A1070" s="4" t="s">
        <v>235</v>
      </c>
      <c r="B1070" s="3">
        <v>0.33680555555555558</v>
      </c>
      <c r="C1070" s="3">
        <v>0.49652777777777773</v>
      </c>
      <c r="D1070" s="3">
        <v>0.53819444444444442</v>
      </c>
      <c r="E1070" s="3">
        <v>0.75416666666666676</v>
      </c>
      <c r="F1070" s="4"/>
      <c r="G1070" s="4"/>
      <c r="H1070" s="3">
        <v>0.375</v>
      </c>
      <c r="I1070" s="3">
        <v>0.375</v>
      </c>
      <c r="J1070" s="4"/>
      <c r="K1070" s="4"/>
      <c r="L1070" s="4"/>
      <c r="M1070" s="4"/>
      <c r="N1070" s="4"/>
      <c r="O1070" s="4"/>
      <c r="P1070" s="4"/>
    </row>
    <row r="1071" spans="1:16" x14ac:dyDescent="0.25">
      <c r="A1071" s="4" t="s">
        <v>236</v>
      </c>
      <c r="B1071" s="3">
        <v>0.33680555555555558</v>
      </c>
      <c r="C1071" s="3">
        <v>0.67708333333333337</v>
      </c>
      <c r="D1071" s="3">
        <v>0.71805555555555556</v>
      </c>
      <c r="E1071" s="3">
        <v>0.75416666666666676</v>
      </c>
      <c r="F1071" s="4"/>
      <c r="G1071" s="4"/>
      <c r="H1071" s="3">
        <v>0.375</v>
      </c>
      <c r="I1071" s="3">
        <v>0.375</v>
      </c>
      <c r="J1071" s="4"/>
      <c r="K1071" s="4"/>
      <c r="L1071" s="4"/>
      <c r="M1071" s="4"/>
      <c r="N1071" s="4"/>
      <c r="O1071" s="4"/>
      <c r="P1071" s="4"/>
    </row>
    <row r="1072" spans="1:16" x14ac:dyDescent="0.25">
      <c r="A1072" s="4" t="s">
        <v>237</v>
      </c>
      <c r="B1072" s="3">
        <v>0.3347222222222222</v>
      </c>
      <c r="C1072" s="3">
        <v>0.51458333333333328</v>
      </c>
      <c r="D1072" s="3">
        <v>0.55902777777777779</v>
      </c>
      <c r="E1072" s="3">
        <v>0.75347222222222221</v>
      </c>
      <c r="F1072" s="4"/>
      <c r="G1072" s="4"/>
      <c r="H1072" s="3">
        <v>0.375</v>
      </c>
      <c r="I1072" s="3">
        <v>0.375</v>
      </c>
      <c r="J1072" s="4"/>
      <c r="K1072" s="4"/>
      <c r="L1072" s="4"/>
      <c r="M1072" s="4"/>
      <c r="N1072" s="4"/>
      <c r="O1072" s="4"/>
      <c r="P1072" s="4"/>
    </row>
    <row r="1073" spans="1:16" x14ac:dyDescent="0.25">
      <c r="A1073" s="4" t="s">
        <v>238</v>
      </c>
      <c r="B1073" s="3">
        <v>0.33680555555555558</v>
      </c>
      <c r="C1073" s="3">
        <v>0.51250000000000007</v>
      </c>
      <c r="D1073" s="3">
        <v>0.55763888888888891</v>
      </c>
      <c r="E1073" s="3">
        <v>0.7583333333333333</v>
      </c>
      <c r="F1073" s="4"/>
      <c r="G1073" s="4"/>
      <c r="H1073" s="3">
        <v>0.375</v>
      </c>
      <c r="I1073" s="3">
        <v>0.375</v>
      </c>
      <c r="J1073" s="4"/>
      <c r="K1073" s="4"/>
      <c r="L1073" s="4"/>
      <c r="M1073" s="4"/>
      <c r="N1073" s="4"/>
      <c r="O1073" s="4"/>
      <c r="P1073" s="4"/>
    </row>
    <row r="1074" spans="1:16" x14ac:dyDescent="0.25">
      <c r="A1074" s="4" t="s">
        <v>239</v>
      </c>
      <c r="B1074" s="4" t="s">
        <v>25</v>
      </c>
      <c r="C1074" s="4" t="s">
        <v>25</v>
      </c>
      <c r="D1074" s="4" t="s">
        <v>25</v>
      </c>
      <c r="E1074" s="4" t="s">
        <v>25</v>
      </c>
      <c r="F1074" s="4" t="s">
        <v>25</v>
      </c>
      <c r="G1074" s="4" t="s">
        <v>25</v>
      </c>
      <c r="H1074" s="4"/>
      <c r="I1074" s="4"/>
      <c r="J1074" s="4"/>
      <c r="K1074" s="4"/>
      <c r="L1074" s="4"/>
      <c r="M1074" s="4"/>
      <c r="N1074" s="4"/>
      <c r="O1074" s="4"/>
      <c r="P1074" s="4"/>
    </row>
    <row r="1075" spans="1:16" x14ac:dyDescent="0.25">
      <c r="A1075" s="4" t="s">
        <v>240</v>
      </c>
      <c r="B1075" s="4" t="s">
        <v>25</v>
      </c>
      <c r="C1075" s="4" t="s">
        <v>25</v>
      </c>
      <c r="D1075" s="4" t="s">
        <v>25</v>
      </c>
      <c r="E1075" s="4" t="s">
        <v>25</v>
      </c>
      <c r="F1075" s="4" t="s">
        <v>25</v>
      </c>
      <c r="G1075" s="4" t="s">
        <v>25</v>
      </c>
      <c r="H1075" s="4"/>
      <c r="I1075" s="4"/>
      <c r="J1075" s="4"/>
      <c r="K1075" s="4"/>
      <c r="L1075" s="4"/>
      <c r="M1075" s="4"/>
      <c r="N1075" s="4"/>
      <c r="O1075" s="4"/>
      <c r="P1075" s="4"/>
    </row>
    <row r="1076" spans="1:16" x14ac:dyDescent="0.25">
      <c r="A1076" s="4" t="s">
        <v>241</v>
      </c>
      <c r="B1076" s="3">
        <v>0.33402777777777781</v>
      </c>
      <c r="C1076" s="3">
        <v>0.54305555555555551</v>
      </c>
      <c r="D1076" s="3">
        <v>0.58472222222222225</v>
      </c>
      <c r="E1076" s="3">
        <v>0.71388888888888891</v>
      </c>
      <c r="F1076" s="4"/>
      <c r="G1076" s="4"/>
      <c r="H1076" s="3">
        <v>0.33333333333333331</v>
      </c>
      <c r="I1076" s="3">
        <v>0.33333333333333331</v>
      </c>
      <c r="J1076" s="4"/>
      <c r="K1076" s="4"/>
      <c r="L1076" s="4"/>
      <c r="M1076" s="4"/>
      <c r="N1076" s="4"/>
      <c r="O1076" s="4"/>
      <c r="P1076" s="4"/>
    </row>
    <row r="1077" spans="1:16" x14ac:dyDescent="0.25">
      <c r="A1077" s="4" t="s">
        <v>242</v>
      </c>
      <c r="B1077" s="3">
        <v>0.33124999999999999</v>
      </c>
      <c r="C1077" s="3">
        <v>0.55138888888888882</v>
      </c>
      <c r="D1077" s="3">
        <v>0.59305555555555556</v>
      </c>
      <c r="E1077" s="3">
        <v>0.75208333333333333</v>
      </c>
      <c r="F1077" s="4"/>
      <c r="G1077" s="4"/>
      <c r="H1077" s="3">
        <v>0.375</v>
      </c>
      <c r="I1077" s="3">
        <v>0.375</v>
      </c>
      <c r="J1077" s="4"/>
      <c r="K1077" s="4"/>
      <c r="L1077" s="4"/>
      <c r="M1077" s="4"/>
      <c r="N1077" s="4"/>
      <c r="O1077" s="4"/>
      <c r="P1077" s="4"/>
    </row>
    <row r="1078" spans="1:16" x14ac:dyDescent="0.25">
      <c r="A1078" s="4" t="s">
        <v>243</v>
      </c>
      <c r="B1078" s="3">
        <v>0.33333333333333331</v>
      </c>
      <c r="C1078" s="3">
        <v>0.55277777777777781</v>
      </c>
      <c r="D1078" s="3">
        <v>0.59236111111111112</v>
      </c>
      <c r="E1078" s="3">
        <v>0.78125</v>
      </c>
      <c r="F1078" s="4"/>
      <c r="G1078" s="4"/>
      <c r="H1078" s="3">
        <v>0.375</v>
      </c>
      <c r="I1078" s="3">
        <v>0.375</v>
      </c>
      <c r="J1078" s="4"/>
      <c r="K1078" s="4"/>
      <c r="L1078" s="4"/>
      <c r="M1078" s="4"/>
      <c r="N1078" s="4"/>
      <c r="O1078" s="4"/>
      <c r="P1078" s="3">
        <v>3.3333333333333333E-2</v>
      </c>
    </row>
    <row r="1079" spans="1:16" x14ac:dyDescent="0.25">
      <c r="A1079" s="4" t="s">
        <v>244</v>
      </c>
      <c r="B1079" s="3">
        <v>0.37083333333333335</v>
      </c>
      <c r="C1079" s="3">
        <v>0.54722222222222217</v>
      </c>
      <c r="D1079" s="3">
        <v>0.58472222222222225</v>
      </c>
      <c r="E1079" s="3">
        <v>0.75138888888888899</v>
      </c>
      <c r="F1079" s="4"/>
      <c r="G1079" s="4"/>
      <c r="H1079" s="4"/>
      <c r="I1079" s="4"/>
      <c r="J1079" s="4"/>
      <c r="K1079" s="4"/>
      <c r="L1079" s="4"/>
      <c r="M1079" s="4"/>
      <c r="N1079" s="4"/>
      <c r="O1079" s="4"/>
      <c r="P1079" s="3">
        <v>0.3430555555555555</v>
      </c>
    </row>
    <row r="1080" spans="1:16" x14ac:dyDescent="0.25">
      <c r="A1080" s="4" t="s">
        <v>245</v>
      </c>
      <c r="B1080" s="4" t="s">
        <v>265</v>
      </c>
      <c r="C1080" s="4" t="s">
        <v>265</v>
      </c>
      <c r="D1080" s="4" t="s">
        <v>265</v>
      </c>
      <c r="E1080" s="4" t="s">
        <v>265</v>
      </c>
      <c r="F1080" s="4"/>
      <c r="G1080" s="4"/>
      <c r="H1080" s="3">
        <v>0.375</v>
      </c>
      <c r="I1080" s="3">
        <v>0.375</v>
      </c>
      <c r="J1080" s="3">
        <v>0.375</v>
      </c>
      <c r="K1080" s="4"/>
      <c r="L1080" s="4"/>
      <c r="M1080" s="4"/>
      <c r="N1080" s="4"/>
      <c r="O1080" s="4"/>
      <c r="P1080" s="4"/>
    </row>
    <row r="1081" spans="1:16" x14ac:dyDescent="0.25">
      <c r="A1081" s="4" t="s">
        <v>246</v>
      </c>
      <c r="B1081" s="4" t="s">
        <v>25</v>
      </c>
      <c r="C1081" s="4" t="s">
        <v>25</v>
      </c>
      <c r="D1081" s="4" t="s">
        <v>25</v>
      </c>
      <c r="E1081" s="4" t="s">
        <v>25</v>
      </c>
      <c r="F1081" s="4" t="s">
        <v>25</v>
      </c>
      <c r="G1081" s="4" t="s">
        <v>25</v>
      </c>
      <c r="H1081" s="4"/>
      <c r="I1081" s="4"/>
      <c r="J1081" s="4"/>
      <c r="K1081" s="4"/>
      <c r="L1081" s="4"/>
      <c r="M1081" s="4"/>
      <c r="N1081" s="4"/>
      <c r="O1081" s="4"/>
      <c r="P1081" s="4"/>
    </row>
    <row r="1082" spans="1:16" x14ac:dyDescent="0.25">
      <c r="A1082" s="4" t="s">
        <v>247</v>
      </c>
      <c r="B1082" s="4" t="s">
        <v>25</v>
      </c>
      <c r="C1082" s="4" t="s">
        <v>25</v>
      </c>
      <c r="D1082" s="4" t="s">
        <v>25</v>
      </c>
      <c r="E1082" s="4" t="s">
        <v>25</v>
      </c>
      <c r="F1082" s="4" t="s">
        <v>25</v>
      </c>
      <c r="G1082" s="4" t="s">
        <v>25</v>
      </c>
      <c r="H1082" s="4"/>
      <c r="I1082" s="4"/>
      <c r="J1082" s="4"/>
      <c r="K1082" s="4"/>
      <c r="L1082" s="4"/>
      <c r="M1082" s="4"/>
      <c r="N1082" s="4"/>
      <c r="O1082" s="4"/>
      <c r="P1082" s="4"/>
    </row>
    <row r="1083" spans="1:16" x14ac:dyDescent="0.25">
      <c r="A1083" s="4" t="s">
        <v>248</v>
      </c>
      <c r="B1083" s="3">
        <v>0.33194444444444443</v>
      </c>
      <c r="C1083" s="3">
        <v>0.52569444444444446</v>
      </c>
      <c r="D1083" s="3">
        <v>0.56666666666666665</v>
      </c>
      <c r="E1083" s="3">
        <v>0.71111111111111114</v>
      </c>
      <c r="F1083" s="4"/>
      <c r="G1083" s="4"/>
      <c r="H1083" s="3">
        <v>0.33333333333333331</v>
      </c>
      <c r="I1083" s="3">
        <v>0.33333333333333331</v>
      </c>
      <c r="J1083" s="4"/>
      <c r="K1083" s="4"/>
      <c r="L1083" s="4"/>
      <c r="M1083" s="4"/>
      <c r="N1083" s="4"/>
      <c r="O1083" s="4"/>
      <c r="P1083" s="4"/>
    </row>
    <row r="1084" spans="1:16" x14ac:dyDescent="0.25">
      <c r="A1084" s="4" t="s">
        <v>249</v>
      </c>
      <c r="B1084" s="3">
        <v>0.3347222222222222</v>
      </c>
      <c r="C1084" s="3">
        <v>0.54583333333333328</v>
      </c>
      <c r="D1084" s="4" t="s">
        <v>52</v>
      </c>
      <c r="E1084" s="4" t="s">
        <v>52</v>
      </c>
      <c r="F1084" s="4"/>
      <c r="G1084" s="4"/>
      <c r="H1084" s="3">
        <v>0.375</v>
      </c>
      <c r="I1084" s="3">
        <v>0.375</v>
      </c>
      <c r="J1084" s="3">
        <v>0.16250000000000001</v>
      </c>
      <c r="K1084" s="4"/>
      <c r="L1084" s="4"/>
      <c r="M1084" s="4"/>
      <c r="N1084" s="4"/>
      <c r="O1084" s="4"/>
      <c r="P1084" s="4"/>
    </row>
    <row r="1085" spans="1:16" x14ac:dyDescent="0.25">
      <c r="A1085" s="4" t="s">
        <v>251</v>
      </c>
      <c r="B1085" s="4" t="s">
        <v>52</v>
      </c>
      <c r="C1085" s="4" t="s">
        <v>52</v>
      </c>
      <c r="D1085" s="4" t="s">
        <v>52</v>
      </c>
      <c r="E1085" s="4" t="s">
        <v>52</v>
      </c>
      <c r="F1085" s="4"/>
      <c r="G1085" s="4"/>
      <c r="H1085" s="3">
        <v>0.375</v>
      </c>
      <c r="I1085" s="3">
        <v>0.375</v>
      </c>
      <c r="J1085" s="3">
        <v>0.375</v>
      </c>
      <c r="K1085" s="4"/>
      <c r="L1085" s="4"/>
      <c r="M1085" s="4"/>
      <c r="N1085" s="4"/>
      <c r="O1085" s="4"/>
      <c r="P1085" s="4"/>
    </row>
    <row r="1086" spans="1:16" x14ac:dyDescent="0.25">
      <c r="A1086" s="4" t="s">
        <v>256</v>
      </c>
      <c r="B1086" s="4" t="s">
        <v>52</v>
      </c>
      <c r="C1086" s="4" t="s">
        <v>52</v>
      </c>
      <c r="D1086" s="4" t="s">
        <v>52</v>
      </c>
      <c r="E1086" s="4" t="s">
        <v>52</v>
      </c>
      <c r="F1086" s="4"/>
      <c r="G1086" s="4"/>
      <c r="H1086" s="3">
        <v>0.375</v>
      </c>
      <c r="I1086" s="3">
        <v>0.375</v>
      </c>
      <c r="J1086" s="3">
        <v>0.375</v>
      </c>
      <c r="K1086" s="4"/>
      <c r="L1086" s="4"/>
      <c r="M1086" s="4"/>
      <c r="N1086" s="4"/>
      <c r="O1086" s="4"/>
      <c r="P1086" s="4"/>
    </row>
    <row r="1087" spans="1:16" x14ac:dyDescent="0.25">
      <c r="A1087" s="4" t="s">
        <v>259</v>
      </c>
      <c r="B1087" s="4" t="s">
        <v>52</v>
      </c>
      <c r="C1087" s="4" t="s">
        <v>52</v>
      </c>
      <c r="D1087" s="3">
        <v>0.58750000000000002</v>
      </c>
      <c r="E1087" s="3">
        <v>0.75347222222222221</v>
      </c>
      <c r="F1087" s="4"/>
      <c r="G1087" s="4"/>
      <c r="H1087" s="3">
        <v>0.375</v>
      </c>
      <c r="I1087" s="3">
        <v>0.375</v>
      </c>
      <c r="J1087" s="3">
        <v>0.21249999999999999</v>
      </c>
      <c r="K1087" s="4"/>
      <c r="L1087" s="4"/>
      <c r="M1087" s="4"/>
      <c r="N1087" s="4"/>
      <c r="O1087" s="4"/>
      <c r="P1087" s="4"/>
    </row>
    <row r="1088" spans="1:16" x14ac:dyDescent="0.25">
      <c r="A1088" s="4" t="s">
        <v>260</v>
      </c>
      <c r="B1088" s="4" t="s">
        <v>25</v>
      </c>
      <c r="C1088" s="4" t="s">
        <v>25</v>
      </c>
      <c r="D1088" s="4" t="s">
        <v>25</v>
      </c>
      <c r="E1088" s="4" t="s">
        <v>25</v>
      </c>
      <c r="F1088" s="4" t="s">
        <v>25</v>
      </c>
      <c r="G1088" s="4" t="s">
        <v>25</v>
      </c>
      <c r="H1088" s="4"/>
      <c r="I1088" s="4"/>
      <c r="J1088" s="4"/>
      <c r="K1088" s="4"/>
      <c r="L1088" s="4"/>
      <c r="M1088" s="4"/>
      <c r="N1088" s="4"/>
      <c r="O1088" s="4"/>
      <c r="P1088" s="4"/>
    </row>
    <row r="1089" spans="1:16" x14ac:dyDescent="0.25">
      <c r="A1089" s="4" t="s">
        <v>261</v>
      </c>
      <c r="B1089" s="4" t="s">
        <v>25</v>
      </c>
      <c r="C1089" s="4" t="s">
        <v>25</v>
      </c>
      <c r="D1089" s="4" t="s">
        <v>25</v>
      </c>
      <c r="E1089" s="4" t="s">
        <v>25</v>
      </c>
      <c r="F1089" s="4" t="s">
        <v>25</v>
      </c>
      <c r="G1089" s="4" t="s">
        <v>25</v>
      </c>
      <c r="H1089" s="4"/>
      <c r="I1089" s="4"/>
      <c r="J1089" s="4"/>
      <c r="K1089" s="4"/>
      <c r="L1089" s="4"/>
      <c r="M1089" s="4"/>
      <c r="N1089" s="4"/>
      <c r="O1089" s="4"/>
      <c r="P1089" s="4"/>
    </row>
    <row r="1090" spans="1:16" x14ac:dyDescent="0.25">
      <c r="A1090" s="4" t="s">
        <v>262</v>
      </c>
      <c r="B1090" s="3">
        <v>0.33333333333333331</v>
      </c>
      <c r="C1090" s="3">
        <v>0.55138888888888882</v>
      </c>
      <c r="D1090" s="3">
        <v>0.59305555555555556</v>
      </c>
      <c r="E1090" s="3">
        <v>0.70833333333333337</v>
      </c>
      <c r="F1090" s="4"/>
      <c r="G1090" s="4"/>
      <c r="H1090" s="3">
        <v>0.33333333333333331</v>
      </c>
      <c r="I1090" s="3">
        <v>0.33333333333333331</v>
      </c>
      <c r="J1090" s="4"/>
      <c r="K1090" s="4"/>
      <c r="L1090" s="4"/>
      <c r="M1090" s="4"/>
      <c r="N1090" s="4"/>
      <c r="O1090" s="4"/>
      <c r="P1090" s="4"/>
    </row>
    <row r="1091" spans="1:16" x14ac:dyDescent="0.25">
      <c r="A1091" s="4" t="s">
        <v>263</v>
      </c>
      <c r="B1091" s="3">
        <v>0.33402777777777781</v>
      </c>
      <c r="C1091" s="3">
        <v>0.50555555555555554</v>
      </c>
      <c r="D1091" s="3">
        <v>0.5444444444444444</v>
      </c>
      <c r="E1091" s="3">
        <v>0.75138888888888899</v>
      </c>
      <c r="F1091" s="4"/>
      <c r="G1091" s="4"/>
      <c r="H1091" s="3">
        <v>0.375</v>
      </c>
      <c r="I1091" s="3">
        <v>0.375</v>
      </c>
      <c r="J1091" s="4"/>
      <c r="K1091" s="4"/>
      <c r="L1091" s="4"/>
      <c r="M1091" s="4"/>
      <c r="N1091" s="4"/>
      <c r="O1091" s="4"/>
      <c r="P1091" s="4"/>
    </row>
    <row r="1092" spans="1:16" x14ac:dyDescent="0.25">
      <c r="A1092" s="4" t="s">
        <v>264</v>
      </c>
      <c r="B1092" s="3">
        <v>0.3347222222222222</v>
      </c>
      <c r="C1092" s="3">
        <v>0.50624999999999998</v>
      </c>
      <c r="D1092" s="3">
        <v>0.54861111111111105</v>
      </c>
      <c r="E1092" s="3">
        <v>0.75277777777777777</v>
      </c>
      <c r="F1092" s="4"/>
      <c r="G1092" s="4"/>
      <c r="H1092" s="3">
        <v>0.375</v>
      </c>
      <c r="I1092" s="3">
        <v>0.375</v>
      </c>
      <c r="J1092" s="4"/>
      <c r="K1092" s="4"/>
      <c r="L1092" s="4"/>
      <c r="M1092" s="4"/>
      <c r="N1092" s="4"/>
      <c r="O1092" s="4"/>
      <c r="P1092" s="4"/>
    </row>
    <row r="1094" spans="1:16" x14ac:dyDescent="0.25">
      <c r="A1094" s="7" t="s">
        <v>45</v>
      </c>
    </row>
    <row r="1097" spans="1:16" x14ac:dyDescent="0.25">
      <c r="A1097" s="7" t="s">
        <v>46</v>
      </c>
    </row>
    <row r="1098" spans="1:16" x14ac:dyDescent="0.25">
      <c r="A1098" s="7" t="s">
        <v>90</v>
      </c>
      <c r="F1098" s="7" t="s">
        <v>47</v>
      </c>
    </row>
    <row r="1099" spans="1:16" x14ac:dyDescent="0.25">
      <c r="F1099" s="7"/>
    </row>
    <row r="1103" spans="1:16" x14ac:dyDescent="0.25">
      <c r="G1103" s="1" t="s">
        <v>18</v>
      </c>
    </row>
    <row r="1104" spans="1:16" x14ac:dyDescent="0.25">
      <c r="A1104" s="1" t="s">
        <v>1</v>
      </c>
      <c r="B1104" t="s">
        <v>2</v>
      </c>
      <c r="H1104" s="1" t="s">
        <v>19</v>
      </c>
      <c r="I1104" s="1" t="s">
        <v>20</v>
      </c>
      <c r="J1104" s="1" t="s">
        <v>21</v>
      </c>
      <c r="K1104" s="1" t="s">
        <v>22</v>
      </c>
      <c r="L1104" s="1" t="s">
        <v>23</v>
      </c>
      <c r="M1104" s="1" t="s">
        <v>24</v>
      </c>
    </row>
    <row r="1105" spans="1:16" x14ac:dyDescent="0.25">
      <c r="A1105" s="1" t="s">
        <v>3</v>
      </c>
      <c r="B1105" t="s">
        <v>4</v>
      </c>
      <c r="G1105" s="1" t="s">
        <v>220</v>
      </c>
      <c r="H1105" s="3">
        <v>0.33333333333333331</v>
      </c>
      <c r="I1105" s="3">
        <v>0.5</v>
      </c>
      <c r="J1105" s="3">
        <v>0.54166666666666663</v>
      </c>
      <c r="K1105" s="3">
        <v>0.70833333333333337</v>
      </c>
      <c r="L1105" s="4"/>
      <c r="M1105" s="4"/>
    </row>
    <row r="1106" spans="1:16" x14ac:dyDescent="0.25">
      <c r="A1106" s="1" t="s">
        <v>5</v>
      </c>
      <c r="B1106" t="s">
        <v>6</v>
      </c>
      <c r="G1106" s="1" t="s">
        <v>221</v>
      </c>
      <c r="H1106" s="3">
        <v>0.33333333333333331</v>
      </c>
      <c r="I1106" s="3">
        <v>0.5</v>
      </c>
      <c r="J1106" s="3">
        <v>0.54166666666666663</v>
      </c>
      <c r="K1106" s="3">
        <v>0.75</v>
      </c>
      <c r="L1106" s="4"/>
      <c r="M1106" s="4"/>
    </row>
    <row r="1107" spans="1:16" x14ac:dyDescent="0.25">
      <c r="G1107" s="1" t="s">
        <v>222</v>
      </c>
      <c r="H1107" s="3">
        <v>0.33333333333333331</v>
      </c>
      <c r="I1107" s="3">
        <v>0.5</v>
      </c>
      <c r="J1107" s="3">
        <v>0.54166666666666663</v>
      </c>
      <c r="K1107" s="3">
        <v>0.75</v>
      </c>
      <c r="L1107" s="4"/>
      <c r="M1107" s="4"/>
    </row>
    <row r="1108" spans="1:16" x14ac:dyDescent="0.25">
      <c r="A1108" s="1" t="s">
        <v>7</v>
      </c>
      <c r="B1108" t="s">
        <v>92</v>
      </c>
      <c r="G1108" s="1" t="s">
        <v>223</v>
      </c>
      <c r="H1108" s="3">
        <v>0.33333333333333331</v>
      </c>
      <c r="I1108" s="3">
        <v>0.5</v>
      </c>
      <c r="J1108" s="3">
        <v>0.54166666666666663</v>
      </c>
      <c r="K1108" s="3">
        <v>0.75</v>
      </c>
      <c r="L1108" s="4"/>
      <c r="M1108" s="4"/>
    </row>
    <row r="1109" spans="1:16" x14ac:dyDescent="0.25">
      <c r="A1109" s="1" t="s">
        <v>9</v>
      </c>
      <c r="B1109" t="s">
        <v>93</v>
      </c>
      <c r="D1109" s="1" t="s">
        <v>11</v>
      </c>
      <c r="E1109" t="s">
        <v>93</v>
      </c>
      <c r="G1109" s="1" t="s">
        <v>224</v>
      </c>
      <c r="H1109" s="3">
        <v>0.33333333333333331</v>
      </c>
      <c r="I1109" s="3">
        <v>0.5</v>
      </c>
      <c r="J1109" s="3">
        <v>0.54166666666666663</v>
      </c>
      <c r="K1109" s="3">
        <v>0.75</v>
      </c>
      <c r="L1109" s="4"/>
      <c r="M1109" s="4"/>
    </row>
    <row r="1110" spans="1:16" x14ac:dyDescent="0.25">
      <c r="A1110" s="1" t="s">
        <v>12</v>
      </c>
      <c r="D1110" s="1" t="s">
        <v>13</v>
      </c>
      <c r="E1110" s="2">
        <v>42506</v>
      </c>
      <c r="G1110" s="1" t="s">
        <v>225</v>
      </c>
      <c r="H1110" s="4" t="s">
        <v>25</v>
      </c>
      <c r="I1110" s="4" t="s">
        <v>25</v>
      </c>
      <c r="J1110" s="4" t="s">
        <v>25</v>
      </c>
      <c r="K1110" s="4" t="s">
        <v>25</v>
      </c>
      <c r="L1110" s="4" t="s">
        <v>25</v>
      </c>
      <c r="M1110" s="4" t="s">
        <v>25</v>
      </c>
    </row>
    <row r="1111" spans="1:16" x14ac:dyDescent="0.25">
      <c r="A1111" s="1" t="s">
        <v>14</v>
      </c>
      <c r="B1111" t="s">
        <v>58</v>
      </c>
      <c r="G1111" s="1" t="s">
        <v>226</v>
      </c>
      <c r="H1111" s="4" t="s">
        <v>25</v>
      </c>
      <c r="I1111" s="4" t="s">
        <v>25</v>
      </c>
      <c r="J1111" s="4" t="s">
        <v>25</v>
      </c>
      <c r="K1111" s="4" t="s">
        <v>25</v>
      </c>
      <c r="L1111" s="4" t="s">
        <v>25</v>
      </c>
      <c r="M1111" s="4" t="s">
        <v>25</v>
      </c>
    </row>
    <row r="1112" spans="1:16" x14ac:dyDescent="0.25">
      <c r="A1112" s="1" t="s">
        <v>16</v>
      </c>
      <c r="B1112" t="s">
        <v>17</v>
      </c>
    </row>
    <row r="1115" spans="1:16" x14ac:dyDescent="0.25">
      <c r="A1115" s="5" t="s">
        <v>26</v>
      </c>
      <c r="B1115" s="5" t="s">
        <v>27</v>
      </c>
      <c r="C1115" s="5" t="s">
        <v>28</v>
      </c>
      <c r="D1115" s="5" t="s">
        <v>29</v>
      </c>
      <c r="E1115" s="5" t="s">
        <v>30</v>
      </c>
      <c r="F1115" s="5" t="s">
        <v>31</v>
      </c>
      <c r="G1115" s="5" t="s">
        <v>32</v>
      </c>
      <c r="H1115" s="5" t="s">
        <v>33</v>
      </c>
      <c r="I1115" s="5" t="s">
        <v>34</v>
      </c>
      <c r="J1115" s="5" t="s">
        <v>35</v>
      </c>
      <c r="K1115" s="5" t="s">
        <v>36</v>
      </c>
      <c r="L1115" s="5" t="s">
        <v>37</v>
      </c>
      <c r="M1115" s="5" t="s">
        <v>38</v>
      </c>
      <c r="N1115" s="5" t="s">
        <v>39</v>
      </c>
      <c r="O1115" s="5" t="s">
        <v>40</v>
      </c>
      <c r="P1115" s="5" t="s">
        <v>41</v>
      </c>
    </row>
    <row r="1116" spans="1:16" x14ac:dyDescent="0.25">
      <c r="A1116" s="4"/>
      <c r="B1116" s="4"/>
      <c r="C1116" s="4"/>
      <c r="D1116" s="4"/>
      <c r="E1116" s="4"/>
      <c r="F1116" s="4"/>
      <c r="G1116" s="4"/>
      <c r="H1116" s="6">
        <v>8.0416666666666661</v>
      </c>
      <c r="I1116" s="6">
        <v>8.0416666666666661</v>
      </c>
      <c r="J1116" s="6">
        <v>1.4937500000000001</v>
      </c>
      <c r="K1116" s="3">
        <v>0</v>
      </c>
      <c r="L1116" s="3">
        <v>0</v>
      </c>
      <c r="M1116" s="3">
        <v>0</v>
      </c>
      <c r="N1116" s="3">
        <v>0</v>
      </c>
      <c r="O1116" s="3">
        <v>0</v>
      </c>
      <c r="P1116" s="3">
        <v>1.4583333333333332E-2</v>
      </c>
    </row>
    <row r="1117" spans="1:16" x14ac:dyDescent="0.25">
      <c r="A1117" s="4" t="s">
        <v>227</v>
      </c>
      <c r="B1117" s="3">
        <v>0.32777777777777778</v>
      </c>
      <c r="C1117" s="3">
        <v>0.5395833333333333</v>
      </c>
      <c r="D1117" s="3">
        <v>0.57916666666666672</v>
      </c>
      <c r="E1117" s="3">
        <v>0.7090277777777777</v>
      </c>
      <c r="F1117" s="4"/>
      <c r="G1117" s="4"/>
      <c r="H1117" s="3">
        <v>0.33333333333333331</v>
      </c>
      <c r="I1117" s="3">
        <v>0.33333333333333331</v>
      </c>
      <c r="J1117" s="4"/>
      <c r="K1117" s="4"/>
      <c r="L1117" s="4"/>
      <c r="M1117" s="4"/>
      <c r="N1117" s="4"/>
      <c r="O1117" s="4"/>
      <c r="P1117" s="3">
        <v>7.6388888888888886E-3</v>
      </c>
    </row>
    <row r="1118" spans="1:16" x14ac:dyDescent="0.25">
      <c r="A1118" s="4" t="s">
        <v>228</v>
      </c>
      <c r="B1118" s="3">
        <v>0.32916666666666666</v>
      </c>
      <c r="C1118" s="3">
        <v>0.52152777777777781</v>
      </c>
      <c r="D1118" s="3">
        <v>0.56041666666666667</v>
      </c>
      <c r="E1118" s="3">
        <v>0.75</v>
      </c>
      <c r="F1118" s="4"/>
      <c r="G1118" s="4"/>
      <c r="H1118" s="3">
        <v>0.375</v>
      </c>
      <c r="I1118" s="3">
        <v>0.375</v>
      </c>
      <c r="J1118" s="4"/>
      <c r="K1118" s="4"/>
      <c r="L1118" s="4"/>
      <c r="M1118" s="4"/>
      <c r="N1118" s="4"/>
      <c r="O1118" s="4"/>
      <c r="P1118" s="3">
        <v>6.9444444444444441E-3</v>
      </c>
    </row>
    <row r="1119" spans="1:16" x14ac:dyDescent="0.25">
      <c r="A1119" s="4" t="s">
        <v>229</v>
      </c>
      <c r="B1119" s="3">
        <v>0.33124999999999999</v>
      </c>
      <c r="C1119" s="3">
        <v>0.54305555555555551</v>
      </c>
      <c r="D1119" s="3">
        <v>0.58333333333333337</v>
      </c>
      <c r="E1119" s="3">
        <v>0.74930555555555556</v>
      </c>
      <c r="F1119" s="4"/>
      <c r="G1119" s="4"/>
      <c r="H1119" s="3">
        <v>0.375</v>
      </c>
      <c r="I1119" s="3">
        <v>0.375</v>
      </c>
      <c r="J1119" s="4"/>
      <c r="K1119" s="4"/>
      <c r="L1119" s="4"/>
      <c r="M1119" s="4"/>
      <c r="N1119" s="4"/>
      <c r="O1119" s="4"/>
      <c r="P1119" s="4"/>
    </row>
    <row r="1120" spans="1:16" x14ac:dyDescent="0.25">
      <c r="A1120" s="4" t="s">
        <v>230</v>
      </c>
      <c r="B1120" s="3">
        <v>0.34583333333333338</v>
      </c>
      <c r="C1120" s="3">
        <v>0.54236111111111118</v>
      </c>
      <c r="D1120" s="3">
        <v>0.58402777777777781</v>
      </c>
      <c r="E1120" s="3">
        <v>0.76250000000000007</v>
      </c>
      <c r="F1120" s="4"/>
      <c r="G1120" s="4"/>
      <c r="H1120" s="3">
        <v>0.375</v>
      </c>
      <c r="I1120" s="3">
        <v>0.375</v>
      </c>
      <c r="J1120" s="4"/>
      <c r="K1120" s="4"/>
      <c r="L1120" s="4"/>
      <c r="M1120" s="4"/>
      <c r="N1120" s="4"/>
      <c r="O1120" s="4"/>
      <c r="P1120" s="4"/>
    </row>
    <row r="1121" spans="1:16" x14ac:dyDescent="0.25">
      <c r="A1121" s="4" t="s">
        <v>231</v>
      </c>
      <c r="B1121" s="3">
        <v>0.33333333333333331</v>
      </c>
      <c r="C1121" s="3">
        <v>0.5493055555555556</v>
      </c>
      <c r="D1121" s="3">
        <v>0.59097222222222223</v>
      </c>
      <c r="E1121" s="3">
        <v>0.75</v>
      </c>
      <c r="F1121" s="4"/>
      <c r="G1121" s="4"/>
      <c r="H1121" s="3">
        <v>0.375</v>
      </c>
      <c r="I1121" s="3">
        <v>0.375</v>
      </c>
      <c r="J1121" s="4"/>
      <c r="K1121" s="4"/>
      <c r="L1121" s="4"/>
      <c r="M1121" s="4"/>
      <c r="N1121" s="4"/>
      <c r="O1121" s="4"/>
      <c r="P1121" s="4"/>
    </row>
    <row r="1122" spans="1:16" x14ac:dyDescent="0.25">
      <c r="A1122" s="4" t="s">
        <v>232</v>
      </c>
      <c r="B1122" s="4" t="s">
        <v>25</v>
      </c>
      <c r="C1122" s="4" t="s">
        <v>25</v>
      </c>
      <c r="D1122" s="4" t="s">
        <v>25</v>
      </c>
      <c r="E1122" s="4" t="s">
        <v>25</v>
      </c>
      <c r="F1122" s="4" t="s">
        <v>25</v>
      </c>
      <c r="G1122" s="4" t="s">
        <v>25</v>
      </c>
      <c r="H1122" s="4"/>
      <c r="I1122" s="4"/>
      <c r="J1122" s="4"/>
      <c r="K1122" s="4"/>
      <c r="L1122" s="4"/>
      <c r="M1122" s="4"/>
      <c r="N1122" s="4"/>
      <c r="O1122" s="4"/>
      <c r="P1122" s="4"/>
    </row>
    <row r="1123" spans="1:16" x14ac:dyDescent="0.25">
      <c r="A1123" s="4" t="s">
        <v>233</v>
      </c>
      <c r="B1123" s="4" t="s">
        <v>25</v>
      </c>
      <c r="C1123" s="4" t="s">
        <v>25</v>
      </c>
      <c r="D1123" s="4" t="s">
        <v>25</v>
      </c>
      <c r="E1123" s="4" t="s">
        <v>25</v>
      </c>
      <c r="F1123" s="4" t="s">
        <v>25</v>
      </c>
      <c r="G1123" s="4" t="s">
        <v>25</v>
      </c>
      <c r="H1123" s="4"/>
      <c r="I1123" s="4"/>
      <c r="J1123" s="4"/>
      <c r="K1123" s="4"/>
      <c r="L1123" s="4"/>
      <c r="M1123" s="4"/>
      <c r="N1123" s="4"/>
      <c r="O1123" s="4"/>
      <c r="P1123" s="4"/>
    </row>
    <row r="1124" spans="1:16" x14ac:dyDescent="0.25">
      <c r="A1124" s="4" t="s">
        <v>234</v>
      </c>
      <c r="B1124" s="3">
        <v>0.3347222222222222</v>
      </c>
      <c r="C1124" s="3">
        <v>0.53611111111111109</v>
      </c>
      <c r="D1124" s="3">
        <v>0.57291666666666663</v>
      </c>
      <c r="E1124" s="3">
        <v>0.70972222222222225</v>
      </c>
      <c r="F1124" s="4"/>
      <c r="G1124" s="4"/>
      <c r="H1124" s="3">
        <v>0.33333333333333331</v>
      </c>
      <c r="I1124" s="3">
        <v>0.33333333333333331</v>
      </c>
      <c r="J1124" s="4"/>
      <c r="K1124" s="4"/>
      <c r="L1124" s="4"/>
      <c r="M1124" s="4"/>
      <c r="N1124" s="4"/>
      <c r="O1124" s="4"/>
      <c r="P1124" s="4"/>
    </row>
    <row r="1125" spans="1:16" x14ac:dyDescent="0.25">
      <c r="A1125" s="4" t="s">
        <v>235</v>
      </c>
      <c r="B1125" s="3">
        <v>0.33402777777777781</v>
      </c>
      <c r="C1125" s="3">
        <v>0.53888888888888886</v>
      </c>
      <c r="D1125" s="3">
        <v>0.57847222222222217</v>
      </c>
      <c r="E1125" s="3">
        <v>0.75416666666666676</v>
      </c>
      <c r="F1125" s="4"/>
      <c r="G1125" s="4"/>
      <c r="H1125" s="3">
        <v>0.375</v>
      </c>
      <c r="I1125" s="3">
        <v>0.375</v>
      </c>
      <c r="J1125" s="4"/>
      <c r="K1125" s="4"/>
      <c r="L1125" s="4"/>
      <c r="M1125" s="4"/>
      <c r="N1125" s="4"/>
      <c r="O1125" s="4"/>
      <c r="P1125" s="4"/>
    </row>
    <row r="1126" spans="1:16" x14ac:dyDescent="0.25">
      <c r="A1126" s="4" t="s">
        <v>236</v>
      </c>
      <c r="B1126" s="3">
        <v>0.34166666666666662</v>
      </c>
      <c r="C1126" s="3">
        <v>0.50138888888888888</v>
      </c>
      <c r="D1126" s="3">
        <v>0.54305555555555551</v>
      </c>
      <c r="E1126" s="3">
        <v>0.7583333333333333</v>
      </c>
      <c r="F1126" s="4"/>
      <c r="G1126" s="4"/>
      <c r="H1126" s="3">
        <v>0.375</v>
      </c>
      <c r="I1126" s="3">
        <v>0.375</v>
      </c>
      <c r="J1126" s="4"/>
      <c r="K1126" s="4"/>
      <c r="L1126" s="4"/>
      <c r="M1126" s="4"/>
      <c r="N1126" s="4"/>
      <c r="O1126" s="4"/>
      <c r="P1126" s="4"/>
    </row>
    <row r="1127" spans="1:16" x14ac:dyDescent="0.25">
      <c r="A1127" s="4" t="s">
        <v>237</v>
      </c>
      <c r="B1127" s="3">
        <v>0.3444444444444445</v>
      </c>
      <c r="C1127" s="3">
        <v>0.51527777777777783</v>
      </c>
      <c r="D1127" s="3">
        <v>0.55625000000000002</v>
      </c>
      <c r="E1127" s="3">
        <v>0.76111111111111107</v>
      </c>
      <c r="F1127" s="4"/>
      <c r="G1127" s="4"/>
      <c r="H1127" s="3">
        <v>0.375</v>
      </c>
      <c r="I1127" s="3">
        <v>0.375</v>
      </c>
      <c r="J1127" s="4"/>
      <c r="K1127" s="4"/>
      <c r="L1127" s="4"/>
      <c r="M1127" s="4"/>
      <c r="N1127" s="4"/>
      <c r="O1127" s="4"/>
      <c r="P1127" s="4"/>
    </row>
    <row r="1128" spans="1:16" x14ac:dyDescent="0.25">
      <c r="A1128" s="4" t="s">
        <v>238</v>
      </c>
      <c r="B1128" s="3">
        <v>0.33333333333333331</v>
      </c>
      <c r="C1128" s="3">
        <v>0.65208333333333335</v>
      </c>
      <c r="D1128" s="3">
        <v>0.72916666666666663</v>
      </c>
      <c r="E1128" s="3">
        <v>0.78611111111111109</v>
      </c>
      <c r="F1128" s="4"/>
      <c r="G1128" s="4"/>
      <c r="H1128" s="3">
        <v>0.375</v>
      </c>
      <c r="I1128" s="3">
        <v>0.375</v>
      </c>
      <c r="J1128" s="4"/>
      <c r="K1128" s="4"/>
      <c r="L1128" s="4"/>
      <c r="M1128" s="4"/>
      <c r="N1128" s="4"/>
      <c r="O1128" s="4"/>
      <c r="P1128" s="4"/>
    </row>
    <row r="1129" spans="1:16" x14ac:dyDescent="0.25">
      <c r="A1129" s="4" t="s">
        <v>239</v>
      </c>
      <c r="B1129" s="4" t="s">
        <v>25</v>
      </c>
      <c r="C1129" s="4" t="s">
        <v>25</v>
      </c>
      <c r="D1129" s="4" t="s">
        <v>25</v>
      </c>
      <c r="E1129" s="4" t="s">
        <v>25</v>
      </c>
      <c r="F1129" s="4" t="s">
        <v>25</v>
      </c>
      <c r="G1129" s="4" t="s">
        <v>25</v>
      </c>
      <c r="H1129" s="4"/>
      <c r="I1129" s="4"/>
      <c r="J1129" s="4"/>
      <c r="K1129" s="4"/>
      <c r="L1129" s="4"/>
      <c r="M1129" s="4"/>
      <c r="N1129" s="4"/>
      <c r="O1129" s="4"/>
      <c r="P1129" s="4"/>
    </row>
    <row r="1130" spans="1:16" x14ac:dyDescent="0.25">
      <c r="A1130" s="4" t="s">
        <v>240</v>
      </c>
      <c r="B1130" s="4" t="s">
        <v>25</v>
      </c>
      <c r="C1130" s="4" t="s">
        <v>25</v>
      </c>
      <c r="D1130" s="4" t="s">
        <v>25</v>
      </c>
      <c r="E1130" s="4" t="s">
        <v>25</v>
      </c>
      <c r="F1130" s="4" t="s">
        <v>25</v>
      </c>
      <c r="G1130" s="4" t="s">
        <v>25</v>
      </c>
      <c r="H1130" s="4"/>
      <c r="I1130" s="4"/>
      <c r="J1130" s="4"/>
      <c r="K1130" s="4"/>
      <c r="L1130" s="4"/>
      <c r="M1130" s="4"/>
      <c r="N1130" s="4"/>
      <c r="O1130" s="4"/>
      <c r="P1130" s="4"/>
    </row>
    <row r="1131" spans="1:16" x14ac:dyDescent="0.25">
      <c r="A1131" s="4" t="s">
        <v>241</v>
      </c>
      <c r="B1131" s="3">
        <v>0.33402777777777781</v>
      </c>
      <c r="C1131" s="3">
        <v>0.5444444444444444</v>
      </c>
      <c r="D1131" s="3">
        <v>0.58611111111111114</v>
      </c>
      <c r="E1131" s="3">
        <v>0.7090277777777777</v>
      </c>
      <c r="F1131" s="4"/>
      <c r="G1131" s="4"/>
      <c r="H1131" s="3">
        <v>0.33333333333333331</v>
      </c>
      <c r="I1131" s="3">
        <v>0.33333333333333331</v>
      </c>
      <c r="J1131" s="4"/>
      <c r="K1131" s="4"/>
      <c r="L1131" s="4"/>
      <c r="M1131" s="4"/>
      <c r="N1131" s="4"/>
      <c r="O1131" s="4"/>
      <c r="P1131" s="4"/>
    </row>
    <row r="1132" spans="1:16" x14ac:dyDescent="0.25">
      <c r="A1132" s="4" t="s">
        <v>242</v>
      </c>
      <c r="B1132" s="3">
        <v>0.33333333333333331</v>
      </c>
      <c r="C1132" s="3">
        <v>0.53541666666666665</v>
      </c>
      <c r="D1132" s="3">
        <v>0.57708333333333328</v>
      </c>
      <c r="E1132" s="3">
        <v>0.75</v>
      </c>
      <c r="F1132" s="4"/>
      <c r="G1132" s="4"/>
      <c r="H1132" s="3">
        <v>0.375</v>
      </c>
      <c r="I1132" s="3">
        <v>0.375</v>
      </c>
      <c r="J1132" s="4"/>
      <c r="K1132" s="4"/>
      <c r="L1132" s="4"/>
      <c r="M1132" s="4"/>
      <c r="N1132" s="4"/>
      <c r="O1132" s="4"/>
      <c r="P1132" s="4"/>
    </row>
    <row r="1133" spans="1:16" x14ac:dyDescent="0.25">
      <c r="A1133" s="4" t="s">
        <v>243</v>
      </c>
      <c r="B1133" s="3">
        <v>0.33958333333333335</v>
      </c>
      <c r="C1133" s="3">
        <v>0.56319444444444444</v>
      </c>
      <c r="D1133" s="3">
        <v>0.60486111111111118</v>
      </c>
      <c r="E1133" s="3">
        <v>0.75624999999999998</v>
      </c>
      <c r="F1133" s="4"/>
      <c r="G1133" s="4"/>
      <c r="H1133" s="3">
        <v>0.375</v>
      </c>
      <c r="I1133" s="3">
        <v>0.375</v>
      </c>
      <c r="J1133" s="4"/>
      <c r="K1133" s="4"/>
      <c r="L1133" s="4"/>
      <c r="M1133" s="4"/>
      <c r="N1133" s="4"/>
      <c r="O1133" s="4"/>
      <c r="P1133" s="4"/>
    </row>
    <row r="1134" spans="1:16" x14ac:dyDescent="0.25">
      <c r="A1134" s="4" t="s">
        <v>244</v>
      </c>
      <c r="B1134" s="4" t="s">
        <v>265</v>
      </c>
      <c r="C1134" s="4" t="s">
        <v>265</v>
      </c>
      <c r="D1134" s="4" t="s">
        <v>265</v>
      </c>
      <c r="E1134" s="4" t="s">
        <v>265</v>
      </c>
      <c r="F1134" s="4" t="s">
        <v>265</v>
      </c>
      <c r="G1134" s="4" t="s">
        <v>265</v>
      </c>
      <c r="H1134" s="4"/>
      <c r="I1134" s="4"/>
      <c r="J1134" s="4"/>
      <c r="K1134" s="4"/>
      <c r="L1134" s="4"/>
      <c r="M1134" s="4"/>
      <c r="N1134" s="4"/>
      <c r="O1134" s="4"/>
      <c r="P1134" s="4"/>
    </row>
    <row r="1135" spans="1:16" x14ac:dyDescent="0.25">
      <c r="A1135" s="4" t="s">
        <v>245</v>
      </c>
      <c r="B1135" s="4" t="s">
        <v>52</v>
      </c>
      <c r="C1135" s="4" t="s">
        <v>52</v>
      </c>
      <c r="D1135" s="4" t="s">
        <v>52</v>
      </c>
      <c r="E1135" s="4" t="s">
        <v>52</v>
      </c>
      <c r="F1135" s="4"/>
      <c r="G1135" s="4"/>
      <c r="H1135" s="3">
        <v>0.375</v>
      </c>
      <c r="I1135" s="3">
        <v>0.375</v>
      </c>
      <c r="J1135" s="3">
        <v>0.375</v>
      </c>
      <c r="K1135" s="4"/>
      <c r="L1135" s="4"/>
      <c r="M1135" s="4"/>
      <c r="N1135" s="4"/>
      <c r="O1135" s="4"/>
      <c r="P1135" s="4"/>
    </row>
    <row r="1136" spans="1:16" x14ac:dyDescent="0.25">
      <c r="A1136" s="4" t="s">
        <v>246</v>
      </c>
      <c r="B1136" s="4" t="s">
        <v>25</v>
      </c>
      <c r="C1136" s="4" t="s">
        <v>25</v>
      </c>
      <c r="D1136" s="4" t="s">
        <v>25</v>
      </c>
      <c r="E1136" s="4" t="s">
        <v>25</v>
      </c>
      <c r="F1136" s="4" t="s">
        <v>25</v>
      </c>
      <c r="G1136" s="4" t="s">
        <v>25</v>
      </c>
      <c r="H1136" s="4"/>
      <c r="I1136" s="4"/>
      <c r="J1136" s="4"/>
      <c r="K1136" s="4"/>
      <c r="L1136" s="4"/>
      <c r="M1136" s="4"/>
      <c r="N1136" s="4"/>
      <c r="O1136" s="4"/>
      <c r="P1136" s="4"/>
    </row>
    <row r="1137" spans="1:16" x14ac:dyDescent="0.25">
      <c r="A1137" s="4" t="s">
        <v>247</v>
      </c>
      <c r="B1137" s="4" t="s">
        <v>25</v>
      </c>
      <c r="C1137" s="4" t="s">
        <v>25</v>
      </c>
      <c r="D1137" s="4" t="s">
        <v>25</v>
      </c>
      <c r="E1137" s="4" t="s">
        <v>25</v>
      </c>
      <c r="F1137" s="4" t="s">
        <v>25</v>
      </c>
      <c r="G1137" s="4" t="s">
        <v>25</v>
      </c>
      <c r="H1137" s="4"/>
      <c r="I1137" s="4"/>
      <c r="J1137" s="4"/>
      <c r="K1137" s="4"/>
      <c r="L1137" s="4"/>
      <c r="M1137" s="4"/>
      <c r="N1137" s="4"/>
      <c r="O1137" s="4"/>
      <c r="P1137" s="4"/>
    </row>
    <row r="1138" spans="1:16" x14ac:dyDescent="0.25">
      <c r="A1138" s="4" t="s">
        <v>248</v>
      </c>
      <c r="B1138" s="3">
        <v>0.33333333333333331</v>
      </c>
      <c r="C1138" s="3">
        <v>0.54652777777777783</v>
      </c>
      <c r="D1138" s="3">
        <v>0.58819444444444446</v>
      </c>
      <c r="E1138" s="3">
        <v>0.70833333333333337</v>
      </c>
      <c r="F1138" s="4"/>
      <c r="G1138" s="4"/>
      <c r="H1138" s="3">
        <v>0.33333333333333331</v>
      </c>
      <c r="I1138" s="3">
        <v>0.33333333333333331</v>
      </c>
      <c r="J1138" s="4"/>
      <c r="K1138" s="4"/>
      <c r="L1138" s="4"/>
      <c r="M1138" s="4"/>
      <c r="N1138" s="4"/>
      <c r="O1138" s="4"/>
      <c r="P1138" s="4"/>
    </row>
    <row r="1139" spans="1:16" x14ac:dyDescent="0.25">
      <c r="A1139" s="4" t="s">
        <v>249</v>
      </c>
      <c r="B1139" s="3">
        <v>0.33333333333333331</v>
      </c>
      <c r="C1139" s="3">
        <v>0.54861111111111105</v>
      </c>
      <c r="D1139" s="3">
        <v>0.59027777777777779</v>
      </c>
      <c r="E1139" s="4" t="s">
        <v>52</v>
      </c>
      <c r="F1139" s="4"/>
      <c r="G1139" s="4"/>
      <c r="H1139" s="3">
        <v>0.375</v>
      </c>
      <c r="I1139" s="3">
        <v>0.375</v>
      </c>
      <c r="J1139" s="3">
        <v>0.15972222222222224</v>
      </c>
      <c r="K1139" s="4"/>
      <c r="L1139" s="4"/>
      <c r="M1139" s="4"/>
      <c r="N1139" s="4"/>
      <c r="O1139" s="4"/>
      <c r="P1139" s="4"/>
    </row>
    <row r="1140" spans="1:16" x14ac:dyDescent="0.25">
      <c r="A1140" s="4" t="s">
        <v>251</v>
      </c>
      <c r="B1140" s="4" t="s">
        <v>52</v>
      </c>
      <c r="C1140" s="4" t="s">
        <v>52</v>
      </c>
      <c r="D1140" s="4" t="s">
        <v>52</v>
      </c>
      <c r="E1140" s="4" t="s">
        <v>52</v>
      </c>
      <c r="F1140" s="4"/>
      <c r="G1140" s="4"/>
      <c r="H1140" s="3">
        <v>0.375</v>
      </c>
      <c r="I1140" s="3">
        <v>0.375</v>
      </c>
      <c r="J1140" s="3">
        <v>0.375</v>
      </c>
      <c r="K1140" s="4"/>
      <c r="L1140" s="4"/>
      <c r="M1140" s="4"/>
      <c r="N1140" s="4"/>
      <c r="O1140" s="4"/>
      <c r="P1140" s="4"/>
    </row>
    <row r="1141" spans="1:16" x14ac:dyDescent="0.25">
      <c r="A1141" s="4" t="s">
        <v>256</v>
      </c>
      <c r="B1141" s="4" t="s">
        <v>52</v>
      </c>
      <c r="C1141" s="4" t="s">
        <v>52</v>
      </c>
      <c r="D1141" s="4" t="s">
        <v>52</v>
      </c>
      <c r="E1141" s="4" t="s">
        <v>52</v>
      </c>
      <c r="F1141" s="4"/>
      <c r="G1141" s="4"/>
      <c r="H1141" s="3">
        <v>0.375</v>
      </c>
      <c r="I1141" s="3">
        <v>0.375</v>
      </c>
      <c r="J1141" s="3">
        <v>0.375</v>
      </c>
      <c r="K1141" s="4"/>
      <c r="L1141" s="4"/>
      <c r="M1141" s="4"/>
      <c r="N1141" s="4"/>
      <c r="O1141" s="4"/>
      <c r="P1141" s="4"/>
    </row>
    <row r="1142" spans="1:16" x14ac:dyDescent="0.25">
      <c r="A1142" s="4" t="s">
        <v>259</v>
      </c>
      <c r="B1142" s="4" t="s">
        <v>52</v>
      </c>
      <c r="C1142" s="3">
        <v>0.54236111111111118</v>
      </c>
      <c r="D1142" s="3">
        <v>0.58402777777777781</v>
      </c>
      <c r="E1142" s="3">
        <v>0.75</v>
      </c>
      <c r="F1142" s="4"/>
      <c r="G1142" s="4"/>
      <c r="H1142" s="3">
        <v>0.375</v>
      </c>
      <c r="I1142" s="3">
        <v>0.375</v>
      </c>
      <c r="J1142" s="3">
        <v>0.20902777777777778</v>
      </c>
      <c r="K1142" s="4"/>
      <c r="L1142" s="4"/>
      <c r="M1142" s="4"/>
      <c r="N1142" s="4"/>
      <c r="O1142" s="4"/>
      <c r="P1142" s="4"/>
    </row>
    <row r="1143" spans="1:16" x14ac:dyDescent="0.25">
      <c r="A1143" s="4" t="s">
        <v>260</v>
      </c>
      <c r="B1143" s="4" t="s">
        <v>25</v>
      </c>
      <c r="C1143" s="4" t="s">
        <v>25</v>
      </c>
      <c r="D1143" s="4" t="s">
        <v>25</v>
      </c>
      <c r="E1143" s="4" t="s">
        <v>25</v>
      </c>
      <c r="F1143" s="4" t="s">
        <v>25</v>
      </c>
      <c r="G1143" s="4" t="s">
        <v>25</v>
      </c>
      <c r="H1143" s="4"/>
      <c r="I1143" s="4"/>
      <c r="J1143" s="4"/>
      <c r="K1143" s="4"/>
      <c r="L1143" s="4"/>
      <c r="M1143" s="4"/>
      <c r="N1143" s="4"/>
      <c r="O1143" s="4"/>
      <c r="P1143" s="4"/>
    </row>
    <row r="1144" spans="1:16" x14ac:dyDescent="0.25">
      <c r="A1144" s="4" t="s">
        <v>261</v>
      </c>
      <c r="B1144" s="4" t="s">
        <v>25</v>
      </c>
      <c r="C1144" s="4" t="s">
        <v>25</v>
      </c>
      <c r="D1144" s="4" t="s">
        <v>25</v>
      </c>
      <c r="E1144" s="4" t="s">
        <v>25</v>
      </c>
      <c r="F1144" s="4" t="s">
        <v>25</v>
      </c>
      <c r="G1144" s="4" t="s">
        <v>25</v>
      </c>
      <c r="H1144" s="4"/>
      <c r="I1144" s="4"/>
      <c r="J1144" s="4"/>
      <c r="K1144" s="4"/>
      <c r="L1144" s="4"/>
      <c r="M1144" s="4"/>
      <c r="N1144" s="4"/>
      <c r="O1144" s="4"/>
      <c r="P1144" s="4"/>
    </row>
    <row r="1145" spans="1:16" x14ac:dyDescent="0.25">
      <c r="A1145" s="4" t="s">
        <v>262</v>
      </c>
      <c r="B1145" s="3">
        <v>0.33333333333333331</v>
      </c>
      <c r="C1145" s="3">
        <v>0.53888888888888886</v>
      </c>
      <c r="D1145" s="3">
        <v>0.5805555555555556</v>
      </c>
      <c r="E1145" s="3">
        <v>0.70833333333333337</v>
      </c>
      <c r="F1145" s="4"/>
      <c r="G1145" s="4"/>
      <c r="H1145" s="3">
        <v>0.33333333333333331</v>
      </c>
      <c r="I1145" s="3">
        <v>0.33333333333333331</v>
      </c>
      <c r="J1145" s="4"/>
      <c r="K1145" s="4"/>
      <c r="L1145" s="4"/>
      <c r="M1145" s="4"/>
      <c r="N1145" s="4"/>
      <c r="O1145" s="4"/>
      <c r="P1145" s="4"/>
    </row>
    <row r="1146" spans="1:16" x14ac:dyDescent="0.25">
      <c r="A1146" s="4" t="s">
        <v>263</v>
      </c>
      <c r="B1146" s="3">
        <v>0.33333333333333331</v>
      </c>
      <c r="C1146" s="3">
        <v>0.61319444444444449</v>
      </c>
      <c r="D1146" s="3">
        <v>0.65486111111111112</v>
      </c>
      <c r="E1146" s="3">
        <v>0.75</v>
      </c>
      <c r="F1146" s="4"/>
      <c r="G1146" s="4"/>
      <c r="H1146" s="3">
        <v>0.375</v>
      </c>
      <c r="I1146" s="3">
        <v>0.375</v>
      </c>
      <c r="J1146" s="4"/>
      <c r="K1146" s="4"/>
      <c r="L1146" s="4"/>
      <c r="M1146" s="4"/>
      <c r="N1146" s="4"/>
      <c r="O1146" s="4"/>
      <c r="P1146" s="4"/>
    </row>
    <row r="1147" spans="1:16" x14ac:dyDescent="0.25">
      <c r="A1147" s="4" t="s">
        <v>264</v>
      </c>
      <c r="B1147" s="3">
        <v>0.33333333333333331</v>
      </c>
      <c r="C1147" s="3">
        <v>0.54305555555555551</v>
      </c>
      <c r="D1147" s="3">
        <v>0.58472222222222225</v>
      </c>
      <c r="E1147" s="3">
        <v>0.75</v>
      </c>
      <c r="F1147" s="4"/>
      <c r="G1147" s="4"/>
      <c r="H1147" s="3">
        <v>0.375</v>
      </c>
      <c r="I1147" s="3">
        <v>0.375</v>
      </c>
      <c r="J1147" s="4"/>
      <c r="K1147" s="4"/>
      <c r="L1147" s="4"/>
      <c r="M1147" s="4"/>
      <c r="N1147" s="4"/>
      <c r="O1147" s="4"/>
      <c r="P1147" s="4"/>
    </row>
    <row r="1149" spans="1:16" x14ac:dyDescent="0.25">
      <c r="A1149" s="7" t="s">
        <v>45</v>
      </c>
    </row>
    <row r="1152" spans="1:16" x14ac:dyDescent="0.25">
      <c r="A1152" s="7" t="s">
        <v>46</v>
      </c>
    </row>
    <row r="1153" spans="1:13" x14ac:dyDescent="0.25">
      <c r="A1153" s="7" t="s">
        <v>92</v>
      </c>
      <c r="F1153" s="7" t="s">
        <v>47</v>
      </c>
    </row>
    <row r="1154" spans="1:13" x14ac:dyDescent="0.25">
      <c r="F1154" s="7"/>
    </row>
    <row r="1158" spans="1:13" x14ac:dyDescent="0.25">
      <c r="G1158" s="1" t="s">
        <v>18</v>
      </c>
    </row>
    <row r="1159" spans="1:13" x14ac:dyDescent="0.25">
      <c r="A1159" s="1" t="s">
        <v>1</v>
      </c>
      <c r="B1159" t="s">
        <v>2</v>
      </c>
      <c r="H1159" s="1" t="s">
        <v>19</v>
      </c>
      <c r="I1159" s="1" t="s">
        <v>20</v>
      </c>
      <c r="J1159" s="1" t="s">
        <v>21</v>
      </c>
      <c r="K1159" s="1" t="s">
        <v>22</v>
      </c>
      <c r="L1159" s="1" t="s">
        <v>23</v>
      </c>
      <c r="M1159" s="1" t="s">
        <v>24</v>
      </c>
    </row>
    <row r="1160" spans="1:13" x14ac:dyDescent="0.25">
      <c r="A1160" s="1" t="s">
        <v>3</v>
      </c>
      <c r="B1160" t="s">
        <v>4</v>
      </c>
      <c r="G1160" s="1" t="s">
        <v>220</v>
      </c>
      <c r="H1160" s="3">
        <v>0.29166666666666669</v>
      </c>
      <c r="I1160" s="3">
        <v>0.5</v>
      </c>
      <c r="J1160" s="3">
        <v>0.54166666666666663</v>
      </c>
      <c r="K1160" s="3">
        <v>0.70833333333333337</v>
      </c>
      <c r="L1160" s="4"/>
      <c r="M1160" s="4"/>
    </row>
    <row r="1161" spans="1:13" x14ac:dyDescent="0.25">
      <c r="A1161" s="1" t="s">
        <v>5</v>
      </c>
      <c r="B1161" t="s">
        <v>6</v>
      </c>
      <c r="G1161" s="1" t="s">
        <v>221</v>
      </c>
      <c r="H1161" s="3">
        <v>0.29166666666666669</v>
      </c>
      <c r="I1161" s="3">
        <v>0.5</v>
      </c>
      <c r="J1161" s="3">
        <v>0.54166666666666663</v>
      </c>
      <c r="K1161" s="3">
        <v>0.70833333333333337</v>
      </c>
      <c r="L1161" s="4"/>
      <c r="M1161" s="4"/>
    </row>
    <row r="1162" spans="1:13" x14ac:dyDescent="0.25">
      <c r="G1162" s="1" t="s">
        <v>222</v>
      </c>
      <c r="H1162" s="3">
        <v>0.29166666666666669</v>
      </c>
      <c r="I1162" s="3">
        <v>0.5</v>
      </c>
      <c r="J1162" s="3">
        <v>0.54166666666666663</v>
      </c>
      <c r="K1162" s="3">
        <v>0.70833333333333337</v>
      </c>
      <c r="L1162" s="4"/>
      <c r="M1162" s="4"/>
    </row>
    <row r="1163" spans="1:13" x14ac:dyDescent="0.25">
      <c r="A1163" s="1" t="s">
        <v>7</v>
      </c>
      <c r="B1163" t="s">
        <v>94</v>
      </c>
      <c r="G1163" s="1" t="s">
        <v>223</v>
      </c>
      <c r="H1163" s="3">
        <v>0.29166666666666669</v>
      </c>
      <c r="I1163" s="3">
        <v>0.5</v>
      </c>
      <c r="J1163" s="3">
        <v>0.54166666666666663</v>
      </c>
      <c r="K1163" s="3">
        <v>0.70833333333333337</v>
      </c>
      <c r="L1163" s="4"/>
      <c r="M1163" s="4"/>
    </row>
    <row r="1164" spans="1:13" x14ac:dyDescent="0.25">
      <c r="A1164" s="1" t="s">
        <v>9</v>
      </c>
      <c r="B1164" t="s">
        <v>95</v>
      </c>
      <c r="D1164" s="1" t="s">
        <v>11</v>
      </c>
      <c r="E1164" t="s">
        <v>95</v>
      </c>
      <c r="G1164" s="1" t="s">
        <v>224</v>
      </c>
      <c r="H1164" s="3">
        <v>0.29166666666666669</v>
      </c>
      <c r="I1164" s="3">
        <v>0.5</v>
      </c>
      <c r="J1164" s="3">
        <v>0.54166666666666663</v>
      </c>
      <c r="K1164" s="3">
        <v>0.66666666666666663</v>
      </c>
      <c r="L1164" s="4"/>
      <c r="M1164" s="4"/>
    </row>
    <row r="1165" spans="1:13" x14ac:dyDescent="0.25">
      <c r="A1165" s="1" t="s">
        <v>12</v>
      </c>
      <c r="D1165" s="1" t="s">
        <v>13</v>
      </c>
      <c r="E1165" s="2">
        <v>42278</v>
      </c>
      <c r="G1165" s="1" t="s">
        <v>225</v>
      </c>
      <c r="H1165" s="4" t="s">
        <v>25</v>
      </c>
      <c r="I1165" s="4" t="s">
        <v>25</v>
      </c>
      <c r="J1165" s="4" t="s">
        <v>25</v>
      </c>
      <c r="K1165" s="4" t="s">
        <v>25</v>
      </c>
      <c r="L1165" s="4" t="s">
        <v>25</v>
      </c>
      <c r="M1165" s="4" t="s">
        <v>25</v>
      </c>
    </row>
    <row r="1166" spans="1:13" x14ac:dyDescent="0.25">
      <c r="A1166" s="1" t="s">
        <v>14</v>
      </c>
      <c r="B1166" t="s">
        <v>50</v>
      </c>
      <c r="G1166" s="1" t="s">
        <v>226</v>
      </c>
      <c r="H1166" s="4" t="s">
        <v>25</v>
      </c>
      <c r="I1166" s="4" t="s">
        <v>25</v>
      </c>
      <c r="J1166" s="4" t="s">
        <v>25</v>
      </c>
      <c r="K1166" s="4" t="s">
        <v>25</v>
      </c>
      <c r="L1166" s="4" t="s">
        <v>25</v>
      </c>
      <c r="M1166" s="4" t="s">
        <v>25</v>
      </c>
    </row>
    <row r="1167" spans="1:13" x14ac:dyDescent="0.25">
      <c r="A1167" s="1" t="s">
        <v>16</v>
      </c>
      <c r="B1167" t="s">
        <v>17</v>
      </c>
    </row>
    <row r="1170" spans="1:16" x14ac:dyDescent="0.25">
      <c r="A1170" s="5" t="s">
        <v>26</v>
      </c>
      <c r="B1170" s="5" t="s">
        <v>27</v>
      </c>
      <c r="C1170" s="5" t="s">
        <v>28</v>
      </c>
      <c r="D1170" s="5" t="s">
        <v>29</v>
      </c>
      <c r="E1170" s="5" t="s">
        <v>30</v>
      </c>
      <c r="F1170" s="5" t="s">
        <v>31</v>
      </c>
      <c r="G1170" s="5" t="s">
        <v>32</v>
      </c>
      <c r="H1170" s="5" t="s">
        <v>33</v>
      </c>
      <c r="I1170" s="5" t="s">
        <v>34</v>
      </c>
      <c r="J1170" s="5" t="s">
        <v>35</v>
      </c>
      <c r="K1170" s="5" t="s">
        <v>36</v>
      </c>
      <c r="L1170" s="5" t="s">
        <v>37</v>
      </c>
      <c r="M1170" s="5" t="s">
        <v>38</v>
      </c>
      <c r="N1170" s="5" t="s">
        <v>39</v>
      </c>
      <c r="O1170" s="5" t="s">
        <v>40</v>
      </c>
      <c r="P1170" s="5" t="s">
        <v>41</v>
      </c>
    </row>
    <row r="1171" spans="1:16" x14ac:dyDescent="0.25">
      <c r="A1171" s="4"/>
      <c r="B1171" s="4"/>
      <c r="C1171" s="4"/>
      <c r="D1171" s="4"/>
      <c r="E1171" s="4"/>
      <c r="F1171" s="4"/>
      <c r="G1171" s="4"/>
      <c r="H1171" s="6">
        <v>8.0833333333333339</v>
      </c>
      <c r="I1171" s="6">
        <v>8.0833333333333339</v>
      </c>
      <c r="J1171" s="6">
        <v>2.0583333333333331</v>
      </c>
      <c r="K1171" s="3">
        <v>0</v>
      </c>
      <c r="L1171" s="3">
        <v>0</v>
      </c>
      <c r="M1171" s="3">
        <v>0</v>
      </c>
      <c r="N1171" s="3">
        <v>0</v>
      </c>
      <c r="O1171" s="3">
        <v>0</v>
      </c>
      <c r="P1171" s="3">
        <v>4.3750000000000004E-2</v>
      </c>
    </row>
    <row r="1172" spans="1:16" x14ac:dyDescent="0.25">
      <c r="A1172" s="4" t="s">
        <v>227</v>
      </c>
      <c r="B1172" s="3">
        <v>0.29930555555555555</v>
      </c>
      <c r="C1172" s="3">
        <v>0.55277777777777781</v>
      </c>
      <c r="D1172" s="3">
        <v>0.59027777777777779</v>
      </c>
      <c r="E1172" s="3">
        <v>0.71527777777777779</v>
      </c>
      <c r="F1172" s="4"/>
      <c r="G1172" s="4"/>
      <c r="H1172" s="3">
        <v>0.375</v>
      </c>
      <c r="I1172" s="3">
        <v>0.375</v>
      </c>
      <c r="J1172" s="4"/>
      <c r="K1172" s="4"/>
      <c r="L1172" s="4"/>
      <c r="M1172" s="4"/>
      <c r="N1172" s="4"/>
      <c r="O1172" s="4"/>
      <c r="P1172" s="4"/>
    </row>
    <row r="1173" spans="1:16" x14ac:dyDescent="0.25">
      <c r="A1173" s="4" t="s">
        <v>228</v>
      </c>
      <c r="B1173" s="3">
        <v>0.30416666666666664</v>
      </c>
      <c r="C1173" s="3">
        <v>0.52708333333333335</v>
      </c>
      <c r="D1173" s="3">
        <v>0.55833333333333335</v>
      </c>
      <c r="E1173" s="3">
        <v>0.7104166666666667</v>
      </c>
      <c r="F1173" s="4"/>
      <c r="G1173" s="4"/>
      <c r="H1173" s="3">
        <v>0.375</v>
      </c>
      <c r="I1173" s="3">
        <v>0.375</v>
      </c>
      <c r="J1173" s="4"/>
      <c r="K1173" s="4"/>
      <c r="L1173" s="4"/>
      <c r="M1173" s="4"/>
      <c r="N1173" s="4"/>
      <c r="O1173" s="4"/>
      <c r="P1173" s="4"/>
    </row>
    <row r="1174" spans="1:16" x14ac:dyDescent="0.25">
      <c r="A1174" s="4" t="s">
        <v>229</v>
      </c>
      <c r="B1174" s="3">
        <v>0.30486111111111108</v>
      </c>
      <c r="C1174" s="3">
        <v>0.54722222222222217</v>
      </c>
      <c r="D1174" s="3">
        <v>0.58402777777777781</v>
      </c>
      <c r="E1174" s="3">
        <v>0.71458333333333324</v>
      </c>
      <c r="F1174" s="4"/>
      <c r="G1174" s="4"/>
      <c r="H1174" s="3">
        <v>0.375</v>
      </c>
      <c r="I1174" s="3">
        <v>0.375</v>
      </c>
      <c r="J1174" s="4"/>
      <c r="K1174" s="4"/>
      <c r="L1174" s="4"/>
      <c r="M1174" s="4"/>
      <c r="N1174" s="4"/>
      <c r="O1174" s="4"/>
      <c r="P1174" s="4"/>
    </row>
    <row r="1175" spans="1:16" x14ac:dyDescent="0.25">
      <c r="A1175" s="4" t="s">
        <v>230</v>
      </c>
      <c r="B1175" s="3">
        <v>0.29722222222222222</v>
      </c>
      <c r="C1175" s="3">
        <v>0.56388888888888888</v>
      </c>
      <c r="D1175" s="4" t="s">
        <v>52</v>
      </c>
      <c r="E1175" s="4" t="s">
        <v>52</v>
      </c>
      <c r="F1175" s="4"/>
      <c r="G1175" s="4"/>
      <c r="H1175" s="3">
        <v>0.375</v>
      </c>
      <c r="I1175" s="3">
        <v>0.375</v>
      </c>
      <c r="J1175" s="3">
        <v>0.10833333333333334</v>
      </c>
      <c r="K1175" s="4"/>
      <c r="L1175" s="4"/>
      <c r="M1175" s="4"/>
      <c r="N1175" s="4"/>
      <c r="O1175" s="4"/>
      <c r="P1175" s="4"/>
    </row>
    <row r="1176" spans="1:16" x14ac:dyDescent="0.25">
      <c r="A1176" s="4" t="s">
        <v>231</v>
      </c>
      <c r="B1176" s="3">
        <v>0.30416666666666664</v>
      </c>
      <c r="C1176" s="3">
        <v>0.49791666666666662</v>
      </c>
      <c r="D1176" s="3">
        <v>0.52708333333333335</v>
      </c>
      <c r="E1176" s="3">
        <v>0.66875000000000007</v>
      </c>
      <c r="F1176" s="4"/>
      <c r="G1176" s="4"/>
      <c r="H1176" s="3">
        <v>0.33333333333333331</v>
      </c>
      <c r="I1176" s="3">
        <v>0.33333333333333331</v>
      </c>
      <c r="J1176" s="4"/>
      <c r="K1176" s="4"/>
      <c r="L1176" s="4"/>
      <c r="M1176" s="4"/>
      <c r="N1176" s="4"/>
      <c r="O1176" s="4"/>
      <c r="P1176" s="4"/>
    </row>
    <row r="1177" spans="1:16" x14ac:dyDescent="0.25">
      <c r="A1177" s="4" t="s">
        <v>232</v>
      </c>
      <c r="B1177" s="4" t="s">
        <v>25</v>
      </c>
      <c r="C1177" s="4" t="s">
        <v>25</v>
      </c>
      <c r="D1177" s="4" t="s">
        <v>25</v>
      </c>
      <c r="E1177" s="4" t="s">
        <v>25</v>
      </c>
      <c r="F1177" s="4"/>
      <c r="G1177" s="4"/>
      <c r="H1177" s="4"/>
      <c r="I1177" s="4"/>
      <c r="J1177" s="4"/>
      <c r="K1177" s="4"/>
      <c r="L1177" s="4"/>
      <c r="M1177" s="4"/>
      <c r="N1177" s="4"/>
      <c r="O1177" s="4"/>
      <c r="P1177" s="4"/>
    </row>
    <row r="1178" spans="1:16" x14ac:dyDescent="0.25">
      <c r="A1178" s="4" t="s">
        <v>233</v>
      </c>
      <c r="B1178" s="4" t="s">
        <v>25</v>
      </c>
      <c r="C1178" s="4" t="s">
        <v>25</v>
      </c>
      <c r="D1178" s="4" t="s">
        <v>25</v>
      </c>
      <c r="E1178" s="4" t="s">
        <v>25</v>
      </c>
      <c r="F1178" s="4"/>
      <c r="G1178" s="4"/>
      <c r="H1178" s="4"/>
      <c r="I1178" s="4"/>
      <c r="J1178" s="4"/>
      <c r="K1178" s="4"/>
      <c r="L1178" s="4"/>
      <c r="M1178" s="4"/>
      <c r="N1178" s="4"/>
      <c r="O1178" s="4"/>
      <c r="P1178" s="4"/>
    </row>
    <row r="1179" spans="1:16" x14ac:dyDescent="0.25">
      <c r="A1179" s="4" t="s">
        <v>234</v>
      </c>
      <c r="B1179" s="3">
        <v>0.30555555555555552</v>
      </c>
      <c r="C1179" s="3">
        <v>0.56388888888888888</v>
      </c>
      <c r="D1179" s="3">
        <v>0.60486111111111118</v>
      </c>
      <c r="E1179" s="3">
        <v>0.72777777777777775</v>
      </c>
      <c r="F1179" s="4"/>
      <c r="G1179" s="4"/>
      <c r="H1179" s="3">
        <v>0.375</v>
      </c>
      <c r="I1179" s="3">
        <v>0.375</v>
      </c>
      <c r="J1179" s="4"/>
      <c r="K1179" s="4"/>
      <c r="L1179" s="4"/>
      <c r="M1179" s="4"/>
      <c r="N1179" s="4"/>
      <c r="O1179" s="4"/>
      <c r="P1179" s="4"/>
    </row>
    <row r="1180" spans="1:16" x14ac:dyDescent="0.25">
      <c r="A1180" s="4" t="s">
        <v>235</v>
      </c>
      <c r="B1180" s="3">
        <v>0.29583333333333334</v>
      </c>
      <c r="C1180" s="3">
        <v>0.53611111111111109</v>
      </c>
      <c r="D1180" s="3">
        <v>0.57500000000000007</v>
      </c>
      <c r="E1180" s="3">
        <v>0.66736111111111107</v>
      </c>
      <c r="F1180" s="4"/>
      <c r="G1180" s="4"/>
      <c r="H1180" s="3">
        <v>0.375</v>
      </c>
      <c r="I1180" s="3">
        <v>0.375</v>
      </c>
      <c r="J1180" s="3">
        <v>4.2361111111111106E-2</v>
      </c>
      <c r="K1180" s="4"/>
      <c r="L1180" s="4"/>
      <c r="M1180" s="4"/>
      <c r="N1180" s="4"/>
      <c r="O1180" s="4"/>
      <c r="P1180" s="4"/>
    </row>
    <row r="1181" spans="1:16" x14ac:dyDescent="0.25">
      <c r="A1181" s="4" t="s">
        <v>236</v>
      </c>
      <c r="B1181" s="4" t="s">
        <v>51</v>
      </c>
      <c r="C1181" s="4" t="s">
        <v>51</v>
      </c>
      <c r="D1181" s="4" t="s">
        <v>51</v>
      </c>
      <c r="E1181" s="4" t="s">
        <v>51</v>
      </c>
      <c r="F1181" s="4"/>
      <c r="G1181" s="4"/>
      <c r="H1181" s="3">
        <v>0.375</v>
      </c>
      <c r="I1181" s="3">
        <v>0.375</v>
      </c>
      <c r="J1181" s="3">
        <v>0.375</v>
      </c>
      <c r="K1181" s="4"/>
      <c r="L1181" s="4"/>
      <c r="M1181" s="4"/>
      <c r="N1181" s="4"/>
      <c r="O1181" s="4"/>
      <c r="P1181" s="4"/>
    </row>
    <row r="1182" spans="1:16" x14ac:dyDescent="0.25">
      <c r="A1182" s="4" t="s">
        <v>237</v>
      </c>
      <c r="B1182" s="3">
        <v>0.30069444444444443</v>
      </c>
      <c r="C1182" s="3">
        <v>0.56180555555555556</v>
      </c>
      <c r="D1182" s="3">
        <v>0.60069444444444442</v>
      </c>
      <c r="E1182" s="3">
        <v>0.72986111111111107</v>
      </c>
      <c r="F1182" s="4"/>
      <c r="G1182" s="4"/>
      <c r="H1182" s="3">
        <v>0.375</v>
      </c>
      <c r="I1182" s="3">
        <v>0.375</v>
      </c>
      <c r="J1182" s="4"/>
      <c r="K1182" s="4"/>
      <c r="L1182" s="4"/>
      <c r="M1182" s="4"/>
      <c r="N1182" s="4"/>
      <c r="O1182" s="4"/>
      <c r="P1182" s="3">
        <v>1.5277777777777777E-2</v>
      </c>
    </row>
    <row r="1183" spans="1:16" x14ac:dyDescent="0.25">
      <c r="A1183" s="4" t="s">
        <v>238</v>
      </c>
      <c r="B1183" s="3">
        <v>0.2986111111111111</v>
      </c>
      <c r="C1183" s="3">
        <v>0.58402777777777781</v>
      </c>
      <c r="D1183" s="4" t="s">
        <v>51</v>
      </c>
      <c r="E1183" s="4" t="s">
        <v>51</v>
      </c>
      <c r="F1183" s="4"/>
      <c r="G1183" s="4"/>
      <c r="H1183" s="3">
        <v>0.33333333333333331</v>
      </c>
      <c r="I1183" s="3">
        <v>0.33333333333333331</v>
      </c>
      <c r="J1183" s="3">
        <v>4.7916666666666663E-2</v>
      </c>
      <c r="K1183" s="4"/>
      <c r="L1183" s="4"/>
      <c r="M1183" s="4"/>
      <c r="N1183" s="4"/>
      <c r="O1183" s="4"/>
      <c r="P1183" s="4"/>
    </row>
    <row r="1184" spans="1:16" x14ac:dyDescent="0.25">
      <c r="A1184" s="4" t="s">
        <v>239</v>
      </c>
      <c r="B1184" s="4" t="s">
        <v>25</v>
      </c>
      <c r="C1184" s="4" t="s">
        <v>25</v>
      </c>
      <c r="D1184" s="4" t="s">
        <v>25</v>
      </c>
      <c r="E1184" s="4" t="s">
        <v>25</v>
      </c>
      <c r="F1184" s="4"/>
      <c r="G1184" s="4"/>
      <c r="H1184" s="4"/>
      <c r="I1184" s="4"/>
      <c r="J1184" s="4"/>
      <c r="K1184" s="4"/>
      <c r="L1184" s="4"/>
      <c r="M1184" s="4"/>
      <c r="N1184" s="4"/>
      <c r="O1184" s="4"/>
      <c r="P1184" s="4"/>
    </row>
    <row r="1185" spans="1:16" x14ac:dyDescent="0.25">
      <c r="A1185" s="4" t="s">
        <v>240</v>
      </c>
      <c r="B1185" s="4" t="s">
        <v>25</v>
      </c>
      <c r="C1185" s="4" t="s">
        <v>25</v>
      </c>
      <c r="D1185" s="4" t="s">
        <v>25</v>
      </c>
      <c r="E1185" s="4" t="s">
        <v>25</v>
      </c>
      <c r="F1185" s="4"/>
      <c r="G1185" s="4"/>
      <c r="H1185" s="4"/>
      <c r="I1185" s="4"/>
      <c r="J1185" s="4"/>
      <c r="K1185" s="4"/>
      <c r="L1185" s="4"/>
      <c r="M1185" s="4"/>
      <c r="N1185" s="4"/>
      <c r="O1185" s="4"/>
      <c r="P1185" s="4"/>
    </row>
    <row r="1186" spans="1:16" x14ac:dyDescent="0.25">
      <c r="A1186" s="4" t="s">
        <v>241</v>
      </c>
      <c r="B1186" s="3">
        <v>0.28819444444444448</v>
      </c>
      <c r="C1186" s="3">
        <v>0.55555555555555558</v>
      </c>
      <c r="D1186" s="3">
        <v>0.59722222222222221</v>
      </c>
      <c r="E1186" s="3">
        <v>0.71597222222222223</v>
      </c>
      <c r="F1186" s="4"/>
      <c r="G1186" s="4"/>
      <c r="H1186" s="3">
        <v>0.375</v>
      </c>
      <c r="I1186" s="3">
        <v>0.375</v>
      </c>
      <c r="J1186" s="4"/>
      <c r="K1186" s="4"/>
      <c r="L1186" s="4"/>
      <c r="M1186" s="4"/>
      <c r="N1186" s="4"/>
      <c r="O1186" s="4"/>
      <c r="P1186" s="3">
        <v>7.6388888888888886E-3</v>
      </c>
    </row>
    <row r="1187" spans="1:16" x14ac:dyDescent="0.25">
      <c r="A1187" s="4" t="s">
        <v>242</v>
      </c>
      <c r="B1187" s="3">
        <v>0.2986111111111111</v>
      </c>
      <c r="C1187" s="3">
        <v>0.57222222222222219</v>
      </c>
      <c r="D1187" s="3">
        <v>0.61319444444444449</v>
      </c>
      <c r="E1187" s="3">
        <v>0.71666666666666667</v>
      </c>
      <c r="F1187" s="4"/>
      <c r="G1187" s="4"/>
      <c r="H1187" s="3">
        <v>0.375</v>
      </c>
      <c r="I1187" s="3">
        <v>0.375</v>
      </c>
      <c r="J1187" s="4"/>
      <c r="K1187" s="4"/>
      <c r="L1187" s="4"/>
      <c r="M1187" s="4"/>
      <c r="N1187" s="4"/>
      <c r="O1187" s="4"/>
      <c r="P1187" s="4"/>
    </row>
    <row r="1188" spans="1:16" x14ac:dyDescent="0.25">
      <c r="A1188" s="4" t="s">
        <v>243</v>
      </c>
      <c r="B1188" s="3">
        <v>0.2951388888888889</v>
      </c>
      <c r="C1188" s="3">
        <v>0.57152777777777775</v>
      </c>
      <c r="D1188" s="3">
        <v>0.61249999999999993</v>
      </c>
      <c r="E1188" s="3">
        <v>0.72083333333333333</v>
      </c>
      <c r="F1188" s="4"/>
      <c r="G1188" s="4"/>
      <c r="H1188" s="3">
        <v>0.375</v>
      </c>
      <c r="I1188" s="3">
        <v>0.375</v>
      </c>
      <c r="J1188" s="4"/>
      <c r="K1188" s="4"/>
      <c r="L1188" s="4"/>
      <c r="M1188" s="4"/>
      <c r="N1188" s="4"/>
      <c r="O1188" s="4"/>
      <c r="P1188" s="3">
        <v>1.3194444444444444E-2</v>
      </c>
    </row>
    <row r="1189" spans="1:16" x14ac:dyDescent="0.25">
      <c r="A1189" s="4" t="s">
        <v>244</v>
      </c>
      <c r="B1189" s="4" t="s">
        <v>265</v>
      </c>
      <c r="C1189" s="4" t="s">
        <v>265</v>
      </c>
      <c r="D1189" s="4" t="s">
        <v>265</v>
      </c>
      <c r="E1189" s="4" t="s">
        <v>265</v>
      </c>
      <c r="F1189" s="4"/>
      <c r="G1189" s="4"/>
      <c r="H1189" s="4"/>
      <c r="I1189" s="4"/>
      <c r="J1189" s="4"/>
      <c r="K1189" s="4"/>
      <c r="L1189" s="4"/>
      <c r="M1189" s="4"/>
      <c r="N1189" s="4"/>
      <c r="O1189" s="4"/>
      <c r="P1189" s="4"/>
    </row>
    <row r="1190" spans="1:16" x14ac:dyDescent="0.25">
      <c r="A1190" s="4" t="s">
        <v>245</v>
      </c>
      <c r="B1190" s="4" t="s">
        <v>52</v>
      </c>
      <c r="C1190" s="4" t="s">
        <v>52</v>
      </c>
      <c r="D1190" s="4" t="s">
        <v>52</v>
      </c>
      <c r="E1190" s="4" t="s">
        <v>52</v>
      </c>
      <c r="F1190" s="4"/>
      <c r="G1190" s="4"/>
      <c r="H1190" s="3">
        <v>0.33333333333333331</v>
      </c>
      <c r="I1190" s="3">
        <v>0.33333333333333331</v>
      </c>
      <c r="J1190" s="3">
        <v>0.33333333333333331</v>
      </c>
      <c r="K1190" s="4"/>
      <c r="L1190" s="4"/>
      <c r="M1190" s="4"/>
      <c r="N1190" s="4"/>
      <c r="O1190" s="4"/>
      <c r="P1190" s="4"/>
    </row>
    <row r="1191" spans="1:16" x14ac:dyDescent="0.25">
      <c r="A1191" s="4" t="s">
        <v>246</v>
      </c>
      <c r="B1191" s="4" t="s">
        <v>25</v>
      </c>
      <c r="C1191" s="4" t="s">
        <v>25</v>
      </c>
      <c r="D1191" s="4" t="s">
        <v>25</v>
      </c>
      <c r="E1191" s="4" t="s">
        <v>25</v>
      </c>
      <c r="F1191" s="4"/>
      <c r="G1191" s="4"/>
      <c r="H1191" s="4"/>
      <c r="I1191" s="4"/>
      <c r="J1191" s="4"/>
      <c r="K1191" s="4"/>
      <c r="L1191" s="4"/>
      <c r="M1191" s="4"/>
      <c r="N1191" s="4"/>
      <c r="O1191" s="4"/>
      <c r="P1191" s="4"/>
    </row>
    <row r="1192" spans="1:16" x14ac:dyDescent="0.25">
      <c r="A1192" s="4" t="s">
        <v>247</v>
      </c>
      <c r="B1192" s="4" t="s">
        <v>25</v>
      </c>
      <c r="C1192" s="4" t="s">
        <v>25</v>
      </c>
      <c r="D1192" s="4" t="s">
        <v>25</v>
      </c>
      <c r="E1192" s="4" t="s">
        <v>25</v>
      </c>
      <c r="F1192" s="4"/>
      <c r="G1192" s="4"/>
      <c r="H1192" s="4"/>
      <c r="I1192" s="4"/>
      <c r="J1192" s="4"/>
      <c r="K1192" s="4"/>
      <c r="L1192" s="4"/>
      <c r="M1192" s="4"/>
      <c r="N1192" s="4"/>
      <c r="O1192" s="4"/>
      <c r="P1192" s="4"/>
    </row>
    <row r="1193" spans="1:16" x14ac:dyDescent="0.25">
      <c r="A1193" s="4" t="s">
        <v>248</v>
      </c>
      <c r="B1193" s="3">
        <v>0.29791666666666666</v>
      </c>
      <c r="C1193" s="3">
        <v>0.53611111111111109</v>
      </c>
      <c r="D1193" s="3">
        <v>0.57708333333333328</v>
      </c>
      <c r="E1193" s="3">
        <v>0.71180555555555547</v>
      </c>
      <c r="F1193" s="4"/>
      <c r="G1193" s="4"/>
      <c r="H1193" s="3">
        <v>0.375</v>
      </c>
      <c r="I1193" s="3">
        <v>0.375</v>
      </c>
      <c r="J1193" s="4"/>
      <c r="K1193" s="4"/>
      <c r="L1193" s="4"/>
      <c r="M1193" s="4"/>
      <c r="N1193" s="4"/>
      <c r="O1193" s="4"/>
      <c r="P1193" s="4"/>
    </row>
    <row r="1194" spans="1:16" x14ac:dyDescent="0.25">
      <c r="A1194" s="4" t="s">
        <v>249</v>
      </c>
      <c r="B1194" s="3">
        <v>0.30416666666666664</v>
      </c>
      <c r="C1194" s="3">
        <v>0.57152777777777775</v>
      </c>
      <c r="D1194" s="4" t="s">
        <v>52</v>
      </c>
      <c r="E1194" s="4" t="s">
        <v>52</v>
      </c>
      <c r="F1194" s="4"/>
      <c r="G1194" s="4"/>
      <c r="H1194" s="3">
        <v>0.375</v>
      </c>
      <c r="I1194" s="3">
        <v>0.375</v>
      </c>
      <c r="J1194" s="3">
        <v>0.1076388888888889</v>
      </c>
      <c r="K1194" s="4"/>
      <c r="L1194" s="4"/>
      <c r="M1194" s="4"/>
      <c r="N1194" s="4"/>
      <c r="O1194" s="4"/>
      <c r="P1194" s="4"/>
    </row>
    <row r="1195" spans="1:16" x14ac:dyDescent="0.25">
      <c r="A1195" s="4" t="s">
        <v>251</v>
      </c>
      <c r="B1195" s="4" t="s">
        <v>52</v>
      </c>
      <c r="C1195" s="4" t="s">
        <v>52</v>
      </c>
      <c r="D1195" s="4" t="s">
        <v>52</v>
      </c>
      <c r="E1195" s="4" t="s">
        <v>52</v>
      </c>
      <c r="F1195" s="4"/>
      <c r="G1195" s="4"/>
      <c r="H1195" s="3">
        <v>0.375</v>
      </c>
      <c r="I1195" s="3">
        <v>0.375</v>
      </c>
      <c r="J1195" s="3">
        <v>0.375</v>
      </c>
      <c r="K1195" s="4"/>
      <c r="L1195" s="4"/>
      <c r="M1195" s="4"/>
      <c r="N1195" s="4"/>
      <c r="O1195" s="4"/>
      <c r="P1195" s="4"/>
    </row>
    <row r="1196" spans="1:16" x14ac:dyDescent="0.25">
      <c r="A1196" s="4" t="s">
        <v>256</v>
      </c>
      <c r="B1196" s="4" t="s">
        <v>52</v>
      </c>
      <c r="C1196" s="4" t="s">
        <v>52</v>
      </c>
      <c r="D1196" s="4" t="s">
        <v>52</v>
      </c>
      <c r="E1196" s="4" t="s">
        <v>52</v>
      </c>
      <c r="F1196" s="4"/>
      <c r="G1196" s="4"/>
      <c r="H1196" s="3">
        <v>0.375</v>
      </c>
      <c r="I1196" s="3">
        <v>0.375</v>
      </c>
      <c r="J1196" s="3">
        <v>0.375</v>
      </c>
      <c r="K1196" s="4"/>
      <c r="L1196" s="4"/>
      <c r="M1196" s="4"/>
      <c r="N1196" s="4"/>
      <c r="O1196" s="4"/>
      <c r="P1196" s="4"/>
    </row>
    <row r="1197" spans="1:16" x14ac:dyDescent="0.25">
      <c r="A1197" s="4" t="s">
        <v>259</v>
      </c>
      <c r="B1197" s="3">
        <v>0.53472222222222221</v>
      </c>
      <c r="C1197" s="3">
        <v>0.57430555555555551</v>
      </c>
      <c r="D1197" s="4" t="s">
        <v>52</v>
      </c>
      <c r="E1197" s="4" t="s">
        <v>52</v>
      </c>
      <c r="F1197" s="4"/>
      <c r="G1197" s="4"/>
      <c r="H1197" s="3">
        <v>0.33333333333333331</v>
      </c>
      <c r="I1197" s="3">
        <v>0.33333333333333331</v>
      </c>
      <c r="J1197" s="3">
        <v>0.29375000000000001</v>
      </c>
      <c r="K1197" s="4"/>
      <c r="L1197" s="4"/>
      <c r="M1197" s="4"/>
      <c r="N1197" s="4"/>
      <c r="O1197" s="4"/>
      <c r="P1197" s="4"/>
    </row>
    <row r="1198" spans="1:16" x14ac:dyDescent="0.25">
      <c r="A1198" s="4" t="s">
        <v>260</v>
      </c>
      <c r="B1198" s="4" t="s">
        <v>25</v>
      </c>
      <c r="C1198" s="4" t="s">
        <v>25</v>
      </c>
      <c r="D1198" s="4" t="s">
        <v>25</v>
      </c>
      <c r="E1198" s="4" t="s">
        <v>25</v>
      </c>
      <c r="F1198" s="4"/>
      <c r="G1198" s="4"/>
      <c r="H1198" s="4"/>
      <c r="I1198" s="4"/>
      <c r="J1198" s="4"/>
      <c r="K1198" s="4"/>
      <c r="L1198" s="4"/>
      <c r="M1198" s="4"/>
      <c r="N1198" s="4"/>
      <c r="O1198" s="4"/>
      <c r="P1198" s="4"/>
    </row>
    <row r="1199" spans="1:16" x14ac:dyDescent="0.25">
      <c r="A1199" s="4" t="s">
        <v>261</v>
      </c>
      <c r="B1199" s="4" t="s">
        <v>25</v>
      </c>
      <c r="C1199" s="4" t="s">
        <v>25</v>
      </c>
      <c r="D1199" s="4" t="s">
        <v>25</v>
      </c>
      <c r="E1199" s="4" t="s">
        <v>25</v>
      </c>
      <c r="F1199" s="4"/>
      <c r="G1199" s="4"/>
      <c r="H1199" s="4"/>
      <c r="I1199" s="4"/>
      <c r="J1199" s="4"/>
      <c r="K1199" s="4"/>
      <c r="L1199" s="4"/>
      <c r="M1199" s="4"/>
      <c r="N1199" s="4"/>
      <c r="O1199" s="4"/>
      <c r="P1199" s="4"/>
    </row>
    <row r="1200" spans="1:16" x14ac:dyDescent="0.25">
      <c r="A1200" s="4" t="s">
        <v>262</v>
      </c>
      <c r="B1200" s="3">
        <v>0.31458333333333333</v>
      </c>
      <c r="C1200" s="3">
        <v>0.55833333333333335</v>
      </c>
      <c r="D1200" s="3">
        <v>0.59930555555555554</v>
      </c>
      <c r="E1200" s="3">
        <v>0.73472222222222217</v>
      </c>
      <c r="F1200" s="4"/>
      <c r="G1200" s="4"/>
      <c r="H1200" s="3">
        <v>0.375</v>
      </c>
      <c r="I1200" s="3">
        <v>0.375</v>
      </c>
      <c r="J1200" s="4"/>
      <c r="K1200" s="4"/>
      <c r="L1200" s="4"/>
      <c r="M1200" s="4"/>
      <c r="N1200" s="4"/>
      <c r="O1200" s="4"/>
      <c r="P1200" s="4"/>
    </row>
    <row r="1201" spans="1:16" x14ac:dyDescent="0.25">
      <c r="A1201" s="4" t="s">
        <v>263</v>
      </c>
      <c r="B1201" s="3">
        <v>0.29444444444444445</v>
      </c>
      <c r="C1201" s="3">
        <v>0.53819444444444442</v>
      </c>
      <c r="D1201" s="3">
        <v>0.57847222222222217</v>
      </c>
      <c r="E1201" s="3">
        <v>0.71319444444444446</v>
      </c>
      <c r="F1201" s="4"/>
      <c r="G1201" s="4"/>
      <c r="H1201" s="3">
        <v>0.375</v>
      </c>
      <c r="I1201" s="3">
        <v>0.375</v>
      </c>
      <c r="J1201" s="4"/>
      <c r="K1201" s="4"/>
      <c r="L1201" s="4"/>
      <c r="M1201" s="4"/>
      <c r="N1201" s="4"/>
      <c r="O1201" s="4"/>
      <c r="P1201" s="4"/>
    </row>
    <row r="1202" spans="1:16" x14ac:dyDescent="0.25">
      <c r="A1202" s="4" t="s">
        <v>264</v>
      </c>
      <c r="B1202" s="3">
        <v>0.29236111111111113</v>
      </c>
      <c r="C1202" s="3">
        <v>0.5625</v>
      </c>
      <c r="D1202" s="3">
        <v>0.61597222222222225</v>
      </c>
      <c r="E1202" s="3">
        <v>0.72777777777777775</v>
      </c>
      <c r="F1202" s="4"/>
      <c r="G1202" s="4"/>
      <c r="H1202" s="3">
        <v>0.375</v>
      </c>
      <c r="I1202" s="3">
        <v>0.375</v>
      </c>
      <c r="J1202" s="4"/>
      <c r="K1202" s="4"/>
      <c r="L1202" s="4"/>
      <c r="M1202" s="4"/>
      <c r="N1202" s="4"/>
      <c r="O1202" s="4"/>
      <c r="P1202" s="3">
        <v>7.6388888888888886E-3</v>
      </c>
    </row>
    <row r="1204" spans="1:16" x14ac:dyDescent="0.25">
      <c r="A1204" s="7" t="s">
        <v>45</v>
      </c>
    </row>
    <row r="1207" spans="1:16" x14ac:dyDescent="0.25">
      <c r="A1207" s="7" t="s">
        <v>46</v>
      </c>
    </row>
    <row r="1208" spans="1:16" x14ac:dyDescent="0.25">
      <c r="A1208" s="7" t="s">
        <v>94</v>
      </c>
      <c r="F1208" s="7" t="s">
        <v>47</v>
      </c>
    </row>
    <row r="1209" spans="1:16" x14ac:dyDescent="0.25">
      <c r="F1209" s="7"/>
    </row>
    <row r="1213" spans="1:16" x14ac:dyDescent="0.25">
      <c r="G1213" s="1" t="s">
        <v>18</v>
      </c>
    </row>
    <row r="1214" spans="1:16" x14ac:dyDescent="0.25">
      <c r="A1214" s="1" t="s">
        <v>1</v>
      </c>
      <c r="B1214" t="s">
        <v>2</v>
      </c>
      <c r="H1214" s="1" t="s">
        <v>19</v>
      </c>
      <c r="I1214" s="1" t="s">
        <v>20</v>
      </c>
      <c r="J1214" s="1" t="s">
        <v>21</v>
      </c>
      <c r="K1214" s="1" t="s">
        <v>22</v>
      </c>
      <c r="L1214" s="1" t="s">
        <v>23</v>
      </c>
      <c r="M1214" s="1" t="s">
        <v>24</v>
      </c>
    </row>
    <row r="1215" spans="1:16" x14ac:dyDescent="0.25">
      <c r="A1215" s="1" t="s">
        <v>3</v>
      </c>
      <c r="B1215" t="s">
        <v>4</v>
      </c>
      <c r="G1215" s="1" t="s">
        <v>220</v>
      </c>
      <c r="H1215" s="3">
        <v>0.54166666666666663</v>
      </c>
      <c r="I1215" s="3">
        <v>0.79166666666666663</v>
      </c>
      <c r="J1215" s="3">
        <v>0.83333333333333337</v>
      </c>
      <c r="K1215" s="3">
        <v>0.91666666666666663</v>
      </c>
      <c r="L1215" s="4"/>
      <c r="M1215" s="4"/>
    </row>
    <row r="1216" spans="1:16" x14ac:dyDescent="0.25">
      <c r="A1216" s="1" t="s">
        <v>5</v>
      </c>
      <c r="B1216" t="s">
        <v>6</v>
      </c>
      <c r="G1216" s="1" t="s">
        <v>221</v>
      </c>
      <c r="H1216" s="3">
        <v>0.5</v>
      </c>
      <c r="I1216" s="3">
        <v>0.79166666666666663</v>
      </c>
      <c r="J1216" s="3">
        <v>0.83333333333333337</v>
      </c>
      <c r="K1216" s="3">
        <v>0.91666666666666663</v>
      </c>
      <c r="L1216" s="4"/>
      <c r="M1216" s="4"/>
    </row>
    <row r="1217" spans="1:16" x14ac:dyDescent="0.25">
      <c r="G1217" s="1" t="s">
        <v>222</v>
      </c>
      <c r="H1217" s="3">
        <v>0.5</v>
      </c>
      <c r="I1217" s="3">
        <v>0.79166666666666663</v>
      </c>
      <c r="J1217" s="3">
        <v>0.83333333333333337</v>
      </c>
      <c r="K1217" s="3">
        <v>0.91666666666666663</v>
      </c>
      <c r="L1217" s="4"/>
      <c r="M1217" s="4"/>
    </row>
    <row r="1218" spans="1:16" x14ac:dyDescent="0.25">
      <c r="A1218" s="1" t="s">
        <v>7</v>
      </c>
      <c r="B1218" t="s">
        <v>96</v>
      </c>
      <c r="G1218" s="1" t="s">
        <v>223</v>
      </c>
      <c r="H1218" s="3">
        <v>0.5</v>
      </c>
      <c r="I1218" s="3">
        <v>0.79166666666666663</v>
      </c>
      <c r="J1218" s="3">
        <v>0.83333333333333337</v>
      </c>
      <c r="K1218" s="3">
        <v>0.91666666666666663</v>
      </c>
      <c r="L1218" s="4"/>
      <c r="M1218" s="4"/>
    </row>
    <row r="1219" spans="1:16" x14ac:dyDescent="0.25">
      <c r="A1219" s="1" t="s">
        <v>9</v>
      </c>
      <c r="B1219" t="s">
        <v>97</v>
      </c>
      <c r="D1219" s="1" t="s">
        <v>11</v>
      </c>
      <c r="E1219" t="s">
        <v>97</v>
      </c>
      <c r="G1219" s="1" t="s">
        <v>224</v>
      </c>
      <c r="H1219" s="3">
        <v>0.5</v>
      </c>
      <c r="I1219" s="3">
        <v>0.79166666666666663</v>
      </c>
      <c r="J1219" s="3">
        <v>0.83333333333333337</v>
      </c>
      <c r="K1219" s="3">
        <v>0.91666666666666663</v>
      </c>
      <c r="L1219" s="4"/>
      <c r="M1219" s="4"/>
    </row>
    <row r="1220" spans="1:16" x14ac:dyDescent="0.25">
      <c r="A1220" s="1" t="s">
        <v>12</v>
      </c>
      <c r="D1220" s="1" t="s">
        <v>13</v>
      </c>
      <c r="E1220" s="2">
        <v>42506</v>
      </c>
      <c r="G1220" s="1" t="s">
        <v>225</v>
      </c>
      <c r="H1220" s="4" t="s">
        <v>25</v>
      </c>
      <c r="I1220" s="4" t="s">
        <v>25</v>
      </c>
      <c r="J1220" s="4" t="s">
        <v>25</v>
      </c>
      <c r="K1220" s="4" t="s">
        <v>25</v>
      </c>
      <c r="L1220" s="4" t="s">
        <v>25</v>
      </c>
      <c r="M1220" s="4" t="s">
        <v>25</v>
      </c>
    </row>
    <row r="1221" spans="1:16" x14ac:dyDescent="0.25">
      <c r="A1221" s="1" t="s">
        <v>14</v>
      </c>
      <c r="B1221" t="s">
        <v>58</v>
      </c>
      <c r="G1221" s="1" t="s">
        <v>226</v>
      </c>
      <c r="H1221" s="4" t="s">
        <v>25</v>
      </c>
      <c r="I1221" s="4" t="s">
        <v>25</v>
      </c>
      <c r="J1221" s="4" t="s">
        <v>25</v>
      </c>
      <c r="K1221" s="4" t="s">
        <v>25</v>
      </c>
      <c r="L1221" s="4" t="s">
        <v>25</v>
      </c>
      <c r="M1221" s="4" t="s">
        <v>25</v>
      </c>
    </row>
    <row r="1222" spans="1:16" x14ac:dyDescent="0.25">
      <c r="A1222" s="1" t="s">
        <v>16</v>
      </c>
      <c r="B1222" t="s">
        <v>17</v>
      </c>
    </row>
    <row r="1225" spans="1:16" x14ac:dyDescent="0.25">
      <c r="A1225" s="5" t="s">
        <v>26</v>
      </c>
      <c r="B1225" s="5" t="s">
        <v>27</v>
      </c>
      <c r="C1225" s="5" t="s">
        <v>28</v>
      </c>
      <c r="D1225" s="5" t="s">
        <v>29</v>
      </c>
      <c r="E1225" s="5" t="s">
        <v>30</v>
      </c>
      <c r="F1225" s="5" t="s">
        <v>31</v>
      </c>
      <c r="G1225" s="5" t="s">
        <v>32</v>
      </c>
      <c r="H1225" s="5" t="s">
        <v>33</v>
      </c>
      <c r="I1225" s="5" t="s">
        <v>34</v>
      </c>
      <c r="J1225" s="5" t="s">
        <v>35</v>
      </c>
      <c r="K1225" s="5" t="s">
        <v>36</v>
      </c>
      <c r="L1225" s="5" t="s">
        <v>37</v>
      </c>
      <c r="M1225" s="5" t="s">
        <v>38</v>
      </c>
      <c r="N1225" s="5" t="s">
        <v>39</v>
      </c>
      <c r="O1225" s="5" t="s">
        <v>40</v>
      </c>
      <c r="P1225" s="5" t="s">
        <v>41</v>
      </c>
    </row>
    <row r="1226" spans="1:16" x14ac:dyDescent="0.25">
      <c r="A1226" s="4"/>
      <c r="B1226" s="4"/>
      <c r="C1226" s="4"/>
      <c r="D1226" s="4"/>
      <c r="E1226" s="4"/>
      <c r="F1226" s="4"/>
      <c r="G1226" s="4"/>
      <c r="H1226" s="6">
        <v>8.0416666666666661</v>
      </c>
      <c r="I1226" s="6">
        <v>8.6666666666666661</v>
      </c>
      <c r="J1226" s="6">
        <v>1.5</v>
      </c>
      <c r="K1226" s="3">
        <v>0</v>
      </c>
      <c r="L1226" s="3">
        <v>0</v>
      </c>
      <c r="M1226" s="3">
        <v>0</v>
      </c>
      <c r="N1226" s="3">
        <v>0.29722222222222222</v>
      </c>
      <c r="O1226" s="3">
        <v>4.1666666666666664E-2</v>
      </c>
      <c r="P1226" s="3">
        <v>0.4375</v>
      </c>
    </row>
    <row r="1227" spans="1:16" x14ac:dyDescent="0.25">
      <c r="A1227" s="4" t="s">
        <v>227</v>
      </c>
      <c r="B1227" s="4" t="s">
        <v>274</v>
      </c>
      <c r="C1227" s="4" t="s">
        <v>43</v>
      </c>
      <c r="D1227" s="4" t="s">
        <v>275</v>
      </c>
      <c r="E1227" s="4" t="s">
        <v>276</v>
      </c>
      <c r="F1227" s="4"/>
      <c r="G1227" s="4"/>
      <c r="H1227" s="3">
        <v>0.33333333333333331</v>
      </c>
      <c r="I1227" s="6">
        <v>1</v>
      </c>
      <c r="J1227" s="4"/>
      <c r="K1227" s="4"/>
      <c r="L1227" s="4"/>
      <c r="M1227" s="4"/>
      <c r="N1227" s="3">
        <v>0.29166666666666669</v>
      </c>
      <c r="O1227" s="4"/>
      <c r="P1227" s="3">
        <v>0.42708333333333331</v>
      </c>
    </row>
    <row r="1228" spans="1:16" x14ac:dyDescent="0.25">
      <c r="A1228" s="4" t="s">
        <v>228</v>
      </c>
      <c r="B1228" s="3">
        <v>0.50486111111111109</v>
      </c>
      <c r="C1228" s="3">
        <v>0.77708333333333324</v>
      </c>
      <c r="D1228" s="3">
        <v>0.81666666666666676</v>
      </c>
      <c r="E1228" s="3">
        <v>0.91666666666666663</v>
      </c>
      <c r="F1228" s="4"/>
      <c r="G1228" s="4"/>
      <c r="H1228" s="3">
        <v>0.375</v>
      </c>
      <c r="I1228" s="3">
        <v>0.375</v>
      </c>
      <c r="J1228" s="4"/>
      <c r="K1228" s="4"/>
      <c r="L1228" s="4"/>
      <c r="M1228" s="4"/>
      <c r="N1228" s="4"/>
      <c r="O1228" s="4"/>
      <c r="P1228" s="4"/>
    </row>
    <row r="1229" spans="1:16" x14ac:dyDescent="0.25">
      <c r="A1229" s="4" t="s">
        <v>229</v>
      </c>
      <c r="B1229" s="3">
        <v>0.50694444444444442</v>
      </c>
      <c r="C1229" s="3">
        <v>0.79166666666666663</v>
      </c>
      <c r="D1229" s="3">
        <v>0.83263888888888893</v>
      </c>
      <c r="E1229" s="3">
        <v>0.91666666666666663</v>
      </c>
      <c r="F1229" s="4"/>
      <c r="G1229" s="4"/>
      <c r="H1229" s="3">
        <v>0.375</v>
      </c>
      <c r="I1229" s="3">
        <v>0.36805555555555558</v>
      </c>
      <c r="J1229" s="4"/>
      <c r="K1229" s="4"/>
      <c r="L1229" s="4"/>
      <c r="M1229" s="4"/>
      <c r="N1229" s="4"/>
      <c r="O1229" s="3">
        <v>6.9444444444444441E-3</v>
      </c>
      <c r="P1229" s="4"/>
    </row>
    <row r="1230" spans="1:16" x14ac:dyDescent="0.25">
      <c r="A1230" s="4" t="s">
        <v>230</v>
      </c>
      <c r="B1230" s="3">
        <v>0.50277777777777777</v>
      </c>
      <c r="C1230" s="3">
        <v>0.77083333333333337</v>
      </c>
      <c r="D1230" s="3">
        <v>0.80902777777777779</v>
      </c>
      <c r="E1230" s="3">
        <v>0.91666666666666663</v>
      </c>
      <c r="F1230" s="4"/>
      <c r="G1230" s="4"/>
      <c r="H1230" s="3">
        <v>0.375</v>
      </c>
      <c r="I1230" s="3">
        <v>0.375</v>
      </c>
      <c r="J1230" s="4"/>
      <c r="K1230" s="4"/>
      <c r="L1230" s="4"/>
      <c r="M1230" s="4"/>
      <c r="N1230" s="4"/>
      <c r="O1230" s="4"/>
      <c r="P1230" s="4"/>
    </row>
    <row r="1231" spans="1:16" x14ac:dyDescent="0.25">
      <c r="A1231" s="4" t="s">
        <v>231</v>
      </c>
      <c r="B1231" s="3">
        <v>0.4993055555555555</v>
      </c>
      <c r="C1231" s="3">
        <v>0.77847222222222223</v>
      </c>
      <c r="D1231" s="3">
        <v>0.82013888888888886</v>
      </c>
      <c r="E1231" s="3">
        <v>0.91666666666666663</v>
      </c>
      <c r="F1231" s="4"/>
      <c r="G1231" s="4"/>
      <c r="H1231" s="3">
        <v>0.375</v>
      </c>
      <c r="I1231" s="3">
        <v>0.375</v>
      </c>
      <c r="J1231" s="4"/>
      <c r="K1231" s="4"/>
      <c r="L1231" s="4"/>
      <c r="M1231" s="4"/>
      <c r="N1231" s="4"/>
      <c r="O1231" s="4"/>
      <c r="P1231" s="4"/>
    </row>
    <row r="1232" spans="1:16" x14ac:dyDescent="0.25">
      <c r="A1232" s="4" t="s">
        <v>232</v>
      </c>
      <c r="B1232" s="4" t="s">
        <v>25</v>
      </c>
      <c r="C1232" s="4" t="s">
        <v>25</v>
      </c>
      <c r="D1232" s="4" t="s">
        <v>25</v>
      </c>
      <c r="E1232" s="4" t="s">
        <v>25</v>
      </c>
      <c r="F1232" s="4" t="s">
        <v>25</v>
      </c>
      <c r="G1232" s="4" t="s">
        <v>25</v>
      </c>
      <c r="H1232" s="4"/>
      <c r="I1232" s="4"/>
      <c r="J1232" s="4"/>
      <c r="K1232" s="4"/>
      <c r="L1232" s="4"/>
      <c r="M1232" s="4"/>
      <c r="N1232" s="4"/>
      <c r="O1232" s="4"/>
      <c r="P1232" s="4"/>
    </row>
    <row r="1233" spans="1:16" x14ac:dyDescent="0.25">
      <c r="A1233" s="4" t="s">
        <v>233</v>
      </c>
      <c r="B1233" s="4" t="s">
        <v>25</v>
      </c>
      <c r="C1233" s="4" t="s">
        <v>25</v>
      </c>
      <c r="D1233" s="4" t="s">
        <v>25</v>
      </c>
      <c r="E1233" s="4" t="s">
        <v>25</v>
      </c>
      <c r="F1233" s="4" t="s">
        <v>25</v>
      </c>
      <c r="G1233" s="4" t="s">
        <v>25</v>
      </c>
      <c r="H1233" s="4"/>
      <c r="I1233" s="4"/>
      <c r="J1233" s="4"/>
      <c r="K1233" s="4"/>
      <c r="L1233" s="4"/>
      <c r="M1233" s="4"/>
      <c r="N1233" s="4"/>
      <c r="O1233" s="4"/>
      <c r="P1233" s="4"/>
    </row>
    <row r="1234" spans="1:16" x14ac:dyDescent="0.25">
      <c r="A1234" s="4" t="s">
        <v>234</v>
      </c>
      <c r="B1234" s="3">
        <v>0.54305555555555551</v>
      </c>
      <c r="C1234" s="3">
        <v>0.7895833333333333</v>
      </c>
      <c r="D1234" s="3">
        <v>0.83124999999999993</v>
      </c>
      <c r="E1234" s="3">
        <v>0.91666666666666663</v>
      </c>
      <c r="F1234" s="4"/>
      <c r="G1234" s="4"/>
      <c r="H1234" s="3">
        <v>0.33333333333333331</v>
      </c>
      <c r="I1234" s="3">
        <v>0.33333333333333331</v>
      </c>
      <c r="J1234" s="4"/>
      <c r="K1234" s="4"/>
      <c r="L1234" s="4"/>
      <c r="M1234" s="4"/>
      <c r="N1234" s="4"/>
      <c r="O1234" s="4"/>
      <c r="P1234" s="4"/>
    </row>
    <row r="1235" spans="1:16" x14ac:dyDescent="0.25">
      <c r="A1235" s="4" t="s">
        <v>235</v>
      </c>
      <c r="B1235" s="3">
        <v>0.50555555555555554</v>
      </c>
      <c r="C1235" s="3">
        <v>0.77777777777777779</v>
      </c>
      <c r="D1235" s="3">
        <v>0.81944444444444453</v>
      </c>
      <c r="E1235" s="3">
        <v>0.91666666666666663</v>
      </c>
      <c r="F1235" s="4"/>
      <c r="G1235" s="4"/>
      <c r="H1235" s="3">
        <v>0.375</v>
      </c>
      <c r="I1235" s="3">
        <v>0.375</v>
      </c>
      <c r="J1235" s="4"/>
      <c r="K1235" s="4"/>
      <c r="L1235" s="4"/>
      <c r="M1235" s="4"/>
      <c r="N1235" s="4"/>
      <c r="O1235" s="4"/>
      <c r="P1235" s="4"/>
    </row>
    <row r="1236" spans="1:16" x14ac:dyDescent="0.25">
      <c r="A1236" s="4" t="s">
        <v>236</v>
      </c>
      <c r="B1236" s="3">
        <v>0.49652777777777773</v>
      </c>
      <c r="C1236" s="3">
        <v>0.79375000000000007</v>
      </c>
      <c r="D1236" s="3">
        <v>0.83194444444444438</v>
      </c>
      <c r="E1236" s="3">
        <v>0.90694444444444444</v>
      </c>
      <c r="F1236" s="4"/>
      <c r="G1236" s="4"/>
      <c r="H1236" s="3">
        <v>0.375</v>
      </c>
      <c r="I1236" s="3">
        <v>0.36527777777777781</v>
      </c>
      <c r="J1236" s="4"/>
      <c r="K1236" s="4"/>
      <c r="L1236" s="4"/>
      <c r="M1236" s="4"/>
      <c r="N1236" s="4"/>
      <c r="O1236" s="3">
        <v>9.7222222222222224E-3</v>
      </c>
      <c r="P1236" s="4"/>
    </row>
    <row r="1237" spans="1:16" x14ac:dyDescent="0.25">
      <c r="A1237" s="4" t="s">
        <v>237</v>
      </c>
      <c r="B1237" s="3">
        <v>0.50069444444444444</v>
      </c>
      <c r="C1237" s="3">
        <v>0.84652777777777777</v>
      </c>
      <c r="D1237" s="3">
        <v>0.87777777777777777</v>
      </c>
      <c r="E1237" s="3">
        <v>0.91736111111111107</v>
      </c>
      <c r="F1237" s="4"/>
      <c r="G1237" s="4"/>
      <c r="H1237" s="3">
        <v>0.375</v>
      </c>
      <c r="I1237" s="3">
        <v>0.375</v>
      </c>
      <c r="J1237" s="4"/>
      <c r="K1237" s="4"/>
      <c r="L1237" s="4"/>
      <c r="M1237" s="4"/>
      <c r="N1237" s="4"/>
      <c r="O1237" s="4"/>
      <c r="P1237" s="3">
        <v>1.0416666666666666E-2</v>
      </c>
    </row>
    <row r="1238" spans="1:16" x14ac:dyDescent="0.25">
      <c r="A1238" s="4" t="s">
        <v>238</v>
      </c>
      <c r="B1238" s="3">
        <v>0.50624999999999998</v>
      </c>
      <c r="C1238" s="3">
        <v>0.76041666666666663</v>
      </c>
      <c r="D1238" s="3">
        <v>0.80208333333333337</v>
      </c>
      <c r="E1238" s="3">
        <v>0.91736111111111107</v>
      </c>
      <c r="F1238" s="4"/>
      <c r="G1238" s="4"/>
      <c r="H1238" s="3">
        <v>0.375</v>
      </c>
      <c r="I1238" s="3">
        <v>0.375</v>
      </c>
      <c r="J1238" s="4"/>
      <c r="K1238" s="4"/>
      <c r="L1238" s="4"/>
      <c r="M1238" s="4"/>
      <c r="N1238" s="4"/>
      <c r="O1238" s="4"/>
      <c r="P1238" s="4"/>
    </row>
    <row r="1239" spans="1:16" x14ac:dyDescent="0.25">
      <c r="A1239" s="4" t="s">
        <v>239</v>
      </c>
      <c r="B1239" s="4" t="s">
        <v>25</v>
      </c>
      <c r="C1239" s="4" t="s">
        <v>25</v>
      </c>
      <c r="D1239" s="4" t="s">
        <v>25</v>
      </c>
      <c r="E1239" s="4" t="s">
        <v>25</v>
      </c>
      <c r="F1239" s="4" t="s">
        <v>25</v>
      </c>
      <c r="G1239" s="4" t="s">
        <v>25</v>
      </c>
      <c r="H1239" s="4"/>
      <c r="I1239" s="4"/>
      <c r="J1239" s="4"/>
      <c r="K1239" s="4"/>
      <c r="L1239" s="4"/>
      <c r="M1239" s="4"/>
      <c r="N1239" s="4"/>
      <c r="O1239" s="4"/>
      <c r="P1239" s="4"/>
    </row>
    <row r="1240" spans="1:16" x14ac:dyDescent="0.25">
      <c r="A1240" s="4" t="s">
        <v>240</v>
      </c>
      <c r="B1240" s="4" t="s">
        <v>25</v>
      </c>
      <c r="C1240" s="4" t="s">
        <v>25</v>
      </c>
      <c r="D1240" s="4" t="s">
        <v>25</v>
      </c>
      <c r="E1240" s="4" t="s">
        <v>25</v>
      </c>
      <c r="F1240" s="4" t="s">
        <v>25</v>
      </c>
      <c r="G1240" s="4" t="s">
        <v>25</v>
      </c>
      <c r="H1240" s="4"/>
      <c r="I1240" s="4"/>
      <c r="J1240" s="4"/>
      <c r="K1240" s="4"/>
      <c r="L1240" s="4"/>
      <c r="M1240" s="4"/>
      <c r="N1240" s="4"/>
      <c r="O1240" s="4"/>
      <c r="P1240" s="4"/>
    </row>
    <row r="1241" spans="1:16" x14ac:dyDescent="0.25">
      <c r="A1241" s="4" t="s">
        <v>241</v>
      </c>
      <c r="B1241" s="3">
        <v>0.54375000000000007</v>
      </c>
      <c r="C1241" s="3">
        <v>0.81666666666666676</v>
      </c>
      <c r="D1241" s="3">
        <v>0.85833333333333339</v>
      </c>
      <c r="E1241" s="3">
        <v>0.91666666666666663</v>
      </c>
      <c r="F1241" s="4"/>
      <c r="G1241" s="4"/>
      <c r="H1241" s="3">
        <v>0.33333333333333331</v>
      </c>
      <c r="I1241" s="3">
        <v>0.33333333333333331</v>
      </c>
      <c r="J1241" s="4"/>
      <c r="K1241" s="4"/>
      <c r="L1241" s="4"/>
      <c r="M1241" s="4"/>
      <c r="N1241" s="4"/>
      <c r="O1241" s="4"/>
      <c r="P1241" s="4"/>
    </row>
    <row r="1242" spans="1:16" x14ac:dyDescent="0.25">
      <c r="A1242" s="4" t="s">
        <v>242</v>
      </c>
      <c r="B1242" s="3">
        <v>0.50347222222222221</v>
      </c>
      <c r="C1242" s="3">
        <v>0.81319444444444444</v>
      </c>
      <c r="D1242" s="3">
        <v>0.85416666666666663</v>
      </c>
      <c r="E1242" s="3">
        <v>0.91666666666666663</v>
      </c>
      <c r="F1242" s="4"/>
      <c r="G1242" s="4"/>
      <c r="H1242" s="3">
        <v>0.375</v>
      </c>
      <c r="I1242" s="3">
        <v>0.375</v>
      </c>
      <c r="J1242" s="4"/>
      <c r="K1242" s="4"/>
      <c r="L1242" s="4"/>
      <c r="M1242" s="4"/>
      <c r="N1242" s="4"/>
      <c r="O1242" s="4"/>
      <c r="P1242" s="4"/>
    </row>
    <row r="1243" spans="1:16" x14ac:dyDescent="0.25">
      <c r="A1243" s="4" t="s">
        <v>243</v>
      </c>
      <c r="B1243" s="3">
        <v>0.50486111111111109</v>
      </c>
      <c r="C1243" s="3">
        <v>0.78680555555555554</v>
      </c>
      <c r="D1243" s="3">
        <v>0.82847222222222217</v>
      </c>
      <c r="E1243" s="3">
        <v>0.91666666666666663</v>
      </c>
      <c r="F1243" s="4"/>
      <c r="G1243" s="4"/>
      <c r="H1243" s="3">
        <v>0.375</v>
      </c>
      <c r="I1243" s="3">
        <v>0.375</v>
      </c>
      <c r="J1243" s="4"/>
      <c r="K1243" s="4"/>
      <c r="L1243" s="4"/>
      <c r="M1243" s="4"/>
      <c r="N1243" s="4"/>
      <c r="O1243" s="4"/>
      <c r="P1243" s="4"/>
    </row>
    <row r="1244" spans="1:16" x14ac:dyDescent="0.25">
      <c r="A1244" s="4" t="s">
        <v>244</v>
      </c>
      <c r="B1244" s="4" t="s">
        <v>265</v>
      </c>
      <c r="C1244" s="4" t="s">
        <v>265</v>
      </c>
      <c r="D1244" s="4" t="s">
        <v>265</v>
      </c>
      <c r="E1244" s="4" t="s">
        <v>265</v>
      </c>
      <c r="F1244" s="4"/>
      <c r="G1244" s="4"/>
      <c r="H1244" s="4"/>
      <c r="I1244" s="4"/>
      <c r="J1244" s="4"/>
      <c r="K1244" s="4"/>
      <c r="L1244" s="4"/>
      <c r="M1244" s="4"/>
      <c r="N1244" s="4"/>
      <c r="O1244" s="4"/>
      <c r="P1244" s="4"/>
    </row>
    <row r="1245" spans="1:16" x14ac:dyDescent="0.25">
      <c r="A1245" s="4" t="s">
        <v>245</v>
      </c>
      <c r="B1245" s="4" t="s">
        <v>265</v>
      </c>
      <c r="C1245" s="4" t="s">
        <v>265</v>
      </c>
      <c r="D1245" s="4" t="s">
        <v>265</v>
      </c>
      <c r="E1245" s="4" t="s">
        <v>265</v>
      </c>
      <c r="F1245" s="4"/>
      <c r="G1245" s="4"/>
      <c r="H1245" s="3">
        <v>0.375</v>
      </c>
      <c r="I1245" s="3">
        <v>0.375</v>
      </c>
      <c r="J1245" s="3">
        <v>0.375</v>
      </c>
      <c r="K1245" s="4"/>
      <c r="L1245" s="4"/>
      <c r="M1245" s="4"/>
      <c r="N1245" s="4"/>
      <c r="O1245" s="4"/>
      <c r="P1245" s="4"/>
    </row>
    <row r="1246" spans="1:16" x14ac:dyDescent="0.25">
      <c r="A1246" s="4" t="s">
        <v>246</v>
      </c>
      <c r="B1246" s="4" t="s">
        <v>25</v>
      </c>
      <c r="C1246" s="4" t="s">
        <v>25</v>
      </c>
      <c r="D1246" s="4" t="s">
        <v>25</v>
      </c>
      <c r="E1246" s="4" t="s">
        <v>25</v>
      </c>
      <c r="F1246" s="4" t="s">
        <v>25</v>
      </c>
      <c r="G1246" s="4" t="s">
        <v>25</v>
      </c>
      <c r="H1246" s="4"/>
      <c r="I1246" s="4"/>
      <c r="J1246" s="4"/>
      <c r="K1246" s="4"/>
      <c r="L1246" s="4"/>
      <c r="M1246" s="4"/>
      <c r="N1246" s="4"/>
      <c r="O1246" s="4"/>
      <c r="P1246" s="4"/>
    </row>
    <row r="1247" spans="1:16" x14ac:dyDescent="0.25">
      <c r="A1247" s="4" t="s">
        <v>247</v>
      </c>
      <c r="B1247" s="4" t="s">
        <v>25</v>
      </c>
      <c r="C1247" s="4" t="s">
        <v>25</v>
      </c>
      <c r="D1247" s="4" t="s">
        <v>25</v>
      </c>
      <c r="E1247" s="4" t="s">
        <v>25</v>
      </c>
      <c r="F1247" s="4" t="s">
        <v>25</v>
      </c>
      <c r="G1247" s="4" t="s">
        <v>25</v>
      </c>
      <c r="H1247" s="4"/>
      <c r="I1247" s="4"/>
      <c r="J1247" s="4"/>
      <c r="K1247" s="4"/>
      <c r="L1247" s="4"/>
      <c r="M1247" s="4"/>
      <c r="N1247" s="4"/>
      <c r="O1247" s="4"/>
      <c r="P1247" s="4"/>
    </row>
    <row r="1248" spans="1:16" x14ac:dyDescent="0.25">
      <c r="A1248" s="4" t="s">
        <v>248</v>
      </c>
      <c r="B1248" s="3">
        <v>0.54513888888888895</v>
      </c>
      <c r="C1248" s="3">
        <v>0.76388888888888884</v>
      </c>
      <c r="D1248" s="3">
        <v>0.80555555555555547</v>
      </c>
      <c r="E1248" s="3">
        <v>0.91666666666666663</v>
      </c>
      <c r="F1248" s="4"/>
      <c r="G1248" s="4"/>
      <c r="H1248" s="3">
        <v>0.33333333333333331</v>
      </c>
      <c r="I1248" s="3">
        <v>0.33333333333333331</v>
      </c>
      <c r="J1248" s="4"/>
      <c r="K1248" s="4"/>
      <c r="L1248" s="4"/>
      <c r="M1248" s="4"/>
      <c r="N1248" s="4"/>
      <c r="O1248" s="4"/>
      <c r="P1248" s="4"/>
    </row>
    <row r="1249" spans="1:16" x14ac:dyDescent="0.25">
      <c r="A1249" s="4" t="s">
        <v>249</v>
      </c>
      <c r="B1249" s="4" t="s">
        <v>52</v>
      </c>
      <c r="C1249" s="4" t="s">
        <v>52</v>
      </c>
      <c r="D1249" s="4" t="s">
        <v>52</v>
      </c>
      <c r="E1249" s="4" t="s">
        <v>52</v>
      </c>
      <c r="F1249" s="4"/>
      <c r="G1249" s="4"/>
      <c r="H1249" s="3">
        <v>0.375</v>
      </c>
      <c r="I1249" s="3">
        <v>0.375</v>
      </c>
      <c r="J1249" s="3">
        <v>0.375</v>
      </c>
      <c r="K1249" s="4"/>
      <c r="L1249" s="4"/>
      <c r="M1249" s="4"/>
      <c r="N1249" s="4"/>
      <c r="O1249" s="4"/>
      <c r="P1249" s="4"/>
    </row>
    <row r="1250" spans="1:16" x14ac:dyDescent="0.25">
      <c r="A1250" s="4" t="s">
        <v>251</v>
      </c>
      <c r="B1250" s="4" t="s">
        <v>52</v>
      </c>
      <c r="C1250" s="4" t="s">
        <v>52</v>
      </c>
      <c r="D1250" s="4" t="s">
        <v>52</v>
      </c>
      <c r="E1250" s="4" t="s">
        <v>52</v>
      </c>
      <c r="F1250" s="4"/>
      <c r="G1250" s="4"/>
      <c r="H1250" s="3">
        <v>0.375</v>
      </c>
      <c r="I1250" s="3">
        <v>0.375</v>
      </c>
      <c r="J1250" s="3">
        <v>0.375</v>
      </c>
      <c r="K1250" s="4"/>
      <c r="L1250" s="4"/>
      <c r="M1250" s="4"/>
      <c r="N1250" s="4"/>
      <c r="O1250" s="4"/>
      <c r="P1250" s="4"/>
    </row>
    <row r="1251" spans="1:16" x14ac:dyDescent="0.25">
      <c r="A1251" s="4" t="s">
        <v>256</v>
      </c>
      <c r="B1251" s="4" t="s">
        <v>52</v>
      </c>
      <c r="C1251" s="4" t="s">
        <v>52</v>
      </c>
      <c r="D1251" s="4" t="s">
        <v>52</v>
      </c>
      <c r="E1251" s="4" t="s">
        <v>52</v>
      </c>
      <c r="F1251" s="4"/>
      <c r="G1251" s="4"/>
      <c r="H1251" s="3">
        <v>0.375</v>
      </c>
      <c r="I1251" s="3">
        <v>0.375</v>
      </c>
      <c r="J1251" s="3">
        <v>0.375</v>
      </c>
      <c r="K1251" s="4"/>
      <c r="L1251" s="4"/>
      <c r="M1251" s="4"/>
      <c r="N1251" s="4"/>
      <c r="O1251" s="4"/>
      <c r="P1251" s="4"/>
    </row>
    <row r="1252" spans="1:16" x14ac:dyDescent="0.25">
      <c r="A1252" s="4" t="s">
        <v>259</v>
      </c>
      <c r="B1252" s="3">
        <v>0.50694444444444442</v>
      </c>
      <c r="C1252" s="3">
        <v>0.7909722222222223</v>
      </c>
      <c r="D1252" s="3">
        <v>0.83263888888888893</v>
      </c>
      <c r="E1252" s="3">
        <v>0.91666666666666663</v>
      </c>
      <c r="F1252" s="4"/>
      <c r="G1252" s="4"/>
      <c r="H1252" s="3">
        <v>0.375</v>
      </c>
      <c r="I1252" s="3">
        <v>0.36805555555555558</v>
      </c>
      <c r="J1252" s="4"/>
      <c r="K1252" s="4"/>
      <c r="L1252" s="4"/>
      <c r="M1252" s="4"/>
      <c r="N1252" s="4"/>
      <c r="O1252" s="3">
        <v>6.9444444444444441E-3</v>
      </c>
      <c r="P1252" s="4"/>
    </row>
    <row r="1253" spans="1:16" x14ac:dyDescent="0.25">
      <c r="A1253" s="4" t="s">
        <v>260</v>
      </c>
      <c r="B1253" s="4" t="s">
        <v>25</v>
      </c>
      <c r="C1253" s="4" t="s">
        <v>25</v>
      </c>
      <c r="D1253" s="4" t="s">
        <v>25</v>
      </c>
      <c r="E1253" s="4" t="s">
        <v>25</v>
      </c>
      <c r="F1253" s="4" t="s">
        <v>25</v>
      </c>
      <c r="G1253" s="4" t="s">
        <v>25</v>
      </c>
      <c r="H1253" s="4"/>
      <c r="I1253" s="4"/>
      <c r="J1253" s="4"/>
      <c r="K1253" s="4"/>
      <c r="L1253" s="4"/>
      <c r="M1253" s="4"/>
      <c r="N1253" s="4"/>
      <c r="O1253" s="4"/>
      <c r="P1253" s="4"/>
    </row>
    <row r="1254" spans="1:16" x14ac:dyDescent="0.25">
      <c r="A1254" s="4" t="s">
        <v>261</v>
      </c>
      <c r="B1254" s="4" t="s">
        <v>25</v>
      </c>
      <c r="C1254" s="4" t="s">
        <v>25</v>
      </c>
      <c r="D1254" s="4" t="s">
        <v>25</v>
      </c>
      <c r="E1254" s="4" t="s">
        <v>25</v>
      </c>
      <c r="F1254" s="4" t="s">
        <v>25</v>
      </c>
      <c r="G1254" s="4" t="s">
        <v>25</v>
      </c>
      <c r="H1254" s="4"/>
      <c r="I1254" s="4"/>
      <c r="J1254" s="4"/>
      <c r="K1254" s="4"/>
      <c r="L1254" s="4"/>
      <c r="M1254" s="4"/>
      <c r="N1254" s="4"/>
      <c r="O1254" s="4"/>
      <c r="P1254" s="4"/>
    </row>
    <row r="1255" spans="1:16" x14ac:dyDescent="0.25">
      <c r="A1255" s="4" t="s">
        <v>262</v>
      </c>
      <c r="B1255" s="3">
        <v>0.54027777777777775</v>
      </c>
      <c r="C1255" s="3">
        <v>0.77847222222222223</v>
      </c>
      <c r="D1255" s="3">
        <v>0.82013888888888886</v>
      </c>
      <c r="E1255" s="3">
        <v>0.91666666666666663</v>
      </c>
      <c r="F1255" s="4"/>
      <c r="G1255" s="4"/>
      <c r="H1255" s="3">
        <v>0.33333333333333331</v>
      </c>
      <c r="I1255" s="3">
        <v>0.33333333333333331</v>
      </c>
      <c r="J1255" s="4"/>
      <c r="K1255" s="4"/>
      <c r="L1255" s="4"/>
      <c r="M1255" s="4"/>
      <c r="N1255" s="4"/>
      <c r="O1255" s="4"/>
      <c r="P1255" s="4"/>
    </row>
    <row r="1256" spans="1:16" x14ac:dyDescent="0.25">
      <c r="A1256" s="4" t="s">
        <v>263</v>
      </c>
      <c r="B1256" s="3">
        <v>0.52361111111111114</v>
      </c>
      <c r="C1256" s="3">
        <v>0.77083333333333337</v>
      </c>
      <c r="D1256" s="3">
        <v>0.8125</v>
      </c>
      <c r="E1256" s="3">
        <v>0.92222222222222217</v>
      </c>
      <c r="F1256" s="4"/>
      <c r="G1256" s="4"/>
      <c r="H1256" s="3">
        <v>0.375</v>
      </c>
      <c r="I1256" s="3">
        <v>0.35694444444444445</v>
      </c>
      <c r="J1256" s="4"/>
      <c r="K1256" s="4"/>
      <c r="L1256" s="4"/>
      <c r="M1256" s="4"/>
      <c r="N1256" s="3">
        <v>5.5555555555555558E-3</v>
      </c>
      <c r="O1256" s="3">
        <v>1.8055555555555557E-2</v>
      </c>
      <c r="P1256" s="4"/>
    </row>
    <row r="1257" spans="1:16" x14ac:dyDescent="0.25">
      <c r="A1257" s="4" t="s">
        <v>264</v>
      </c>
      <c r="B1257" s="3">
        <v>0.50277777777777777</v>
      </c>
      <c r="C1257" s="3">
        <v>0.79305555555555562</v>
      </c>
      <c r="D1257" s="3">
        <v>0.83472222222222225</v>
      </c>
      <c r="E1257" s="3">
        <v>0.91736111111111107</v>
      </c>
      <c r="F1257" s="4"/>
      <c r="G1257" s="4"/>
      <c r="H1257" s="3">
        <v>0.375</v>
      </c>
      <c r="I1257" s="3">
        <v>0.375</v>
      </c>
      <c r="J1257" s="4"/>
      <c r="K1257" s="4"/>
      <c r="L1257" s="4"/>
      <c r="M1257" s="4"/>
      <c r="N1257" s="4"/>
      <c r="O1257" s="4"/>
      <c r="P1257" s="4"/>
    </row>
    <row r="1259" spans="1:16" x14ac:dyDescent="0.25">
      <c r="A1259" s="7" t="s">
        <v>45</v>
      </c>
    </row>
    <row r="1262" spans="1:16" x14ac:dyDescent="0.25">
      <c r="A1262" s="7" t="s">
        <v>46</v>
      </c>
    </row>
    <row r="1263" spans="1:16" x14ac:dyDescent="0.25">
      <c r="A1263" s="7" t="s">
        <v>96</v>
      </c>
      <c r="F1263" s="7" t="s">
        <v>47</v>
      </c>
    </row>
    <row r="1264" spans="1:16" x14ac:dyDescent="0.25">
      <c r="F1264" s="7"/>
    </row>
    <row r="1268" spans="1:16" x14ac:dyDescent="0.25">
      <c r="G1268" s="1" t="s">
        <v>18</v>
      </c>
    </row>
    <row r="1269" spans="1:16" x14ac:dyDescent="0.25">
      <c r="A1269" s="1" t="s">
        <v>1</v>
      </c>
      <c r="B1269" t="s">
        <v>2</v>
      </c>
      <c r="H1269" s="1" t="s">
        <v>19</v>
      </c>
      <c r="I1269" s="1" t="s">
        <v>20</v>
      </c>
      <c r="J1269" s="1" t="s">
        <v>21</v>
      </c>
      <c r="K1269" s="1" t="s">
        <v>22</v>
      </c>
      <c r="L1269" s="1" t="s">
        <v>23</v>
      </c>
      <c r="M1269" s="1" t="s">
        <v>24</v>
      </c>
    </row>
    <row r="1270" spans="1:16" x14ac:dyDescent="0.25">
      <c r="A1270" s="1" t="s">
        <v>3</v>
      </c>
      <c r="B1270" t="s">
        <v>4</v>
      </c>
      <c r="G1270" s="1" t="s">
        <v>220</v>
      </c>
      <c r="H1270" s="3">
        <v>0.54166666666666663</v>
      </c>
      <c r="I1270" s="3">
        <v>0.79166666666666663</v>
      </c>
      <c r="J1270" s="3">
        <v>0.83333333333333337</v>
      </c>
      <c r="K1270" s="3">
        <v>0.91666666666666663</v>
      </c>
      <c r="L1270" s="4"/>
      <c r="M1270" s="4"/>
    </row>
    <row r="1271" spans="1:16" x14ac:dyDescent="0.25">
      <c r="A1271" s="1" t="s">
        <v>5</v>
      </c>
      <c r="B1271" t="s">
        <v>6</v>
      </c>
      <c r="G1271" s="1" t="s">
        <v>221</v>
      </c>
      <c r="H1271" s="3">
        <v>0.5</v>
      </c>
      <c r="I1271" s="3">
        <v>0.79166666666666663</v>
      </c>
      <c r="J1271" s="3">
        <v>0.83333333333333337</v>
      </c>
      <c r="K1271" s="3">
        <v>0.91666666666666663</v>
      </c>
      <c r="L1271" s="4"/>
      <c r="M1271" s="4"/>
    </row>
    <row r="1272" spans="1:16" x14ac:dyDescent="0.25">
      <c r="G1272" s="1" t="s">
        <v>222</v>
      </c>
      <c r="H1272" s="3">
        <v>0.5</v>
      </c>
      <c r="I1272" s="3">
        <v>0.79166666666666663</v>
      </c>
      <c r="J1272" s="3">
        <v>0.83333333333333337</v>
      </c>
      <c r="K1272" s="3">
        <v>0.91666666666666663</v>
      </c>
      <c r="L1272" s="4"/>
      <c r="M1272" s="4"/>
    </row>
    <row r="1273" spans="1:16" x14ac:dyDescent="0.25">
      <c r="A1273" s="1" t="s">
        <v>7</v>
      </c>
      <c r="B1273" t="s">
        <v>98</v>
      </c>
      <c r="G1273" s="1" t="s">
        <v>223</v>
      </c>
      <c r="H1273" s="3">
        <v>0.5</v>
      </c>
      <c r="I1273" s="3">
        <v>0.79166666666666663</v>
      </c>
      <c r="J1273" s="3">
        <v>0.83333333333333337</v>
      </c>
      <c r="K1273" s="3">
        <v>0.91666666666666663</v>
      </c>
      <c r="L1273" s="4"/>
      <c r="M1273" s="4"/>
    </row>
    <row r="1274" spans="1:16" x14ac:dyDescent="0.25">
      <c r="A1274" s="1" t="s">
        <v>9</v>
      </c>
      <c r="B1274" t="s">
        <v>99</v>
      </c>
      <c r="D1274" s="1" t="s">
        <v>11</v>
      </c>
      <c r="E1274" t="s">
        <v>99</v>
      </c>
      <c r="G1274" s="1" t="s">
        <v>224</v>
      </c>
      <c r="H1274" s="3">
        <v>0.5</v>
      </c>
      <c r="I1274" s="3">
        <v>0.79166666666666663</v>
      </c>
      <c r="J1274" s="3">
        <v>0.83333333333333337</v>
      </c>
      <c r="K1274" s="3">
        <v>0.91666666666666663</v>
      </c>
      <c r="L1274" s="4"/>
      <c r="M1274" s="4"/>
    </row>
    <row r="1275" spans="1:16" x14ac:dyDescent="0.25">
      <c r="A1275" s="1" t="s">
        <v>12</v>
      </c>
      <c r="D1275" s="1" t="s">
        <v>13</v>
      </c>
      <c r="E1275" s="2">
        <v>42758</v>
      </c>
      <c r="G1275" s="1" t="s">
        <v>225</v>
      </c>
      <c r="H1275" s="4" t="s">
        <v>25</v>
      </c>
      <c r="I1275" s="4" t="s">
        <v>25</v>
      </c>
      <c r="J1275" s="4" t="s">
        <v>25</v>
      </c>
      <c r="K1275" s="4" t="s">
        <v>25</v>
      </c>
      <c r="L1275" s="4" t="s">
        <v>25</v>
      </c>
      <c r="M1275" s="4" t="s">
        <v>25</v>
      </c>
    </row>
    <row r="1276" spans="1:16" x14ac:dyDescent="0.25">
      <c r="A1276" s="1" t="s">
        <v>14</v>
      </c>
      <c r="B1276" t="s">
        <v>58</v>
      </c>
      <c r="G1276" s="1" t="s">
        <v>226</v>
      </c>
      <c r="H1276" s="4" t="s">
        <v>25</v>
      </c>
      <c r="I1276" s="4" t="s">
        <v>25</v>
      </c>
      <c r="J1276" s="4" t="s">
        <v>25</v>
      </c>
      <c r="K1276" s="4" t="s">
        <v>25</v>
      </c>
      <c r="L1276" s="4" t="s">
        <v>25</v>
      </c>
      <c r="M1276" s="4" t="s">
        <v>25</v>
      </c>
    </row>
    <row r="1277" spans="1:16" x14ac:dyDescent="0.25">
      <c r="A1277" s="1" t="s">
        <v>16</v>
      </c>
      <c r="B1277" t="s">
        <v>17</v>
      </c>
    </row>
    <row r="1280" spans="1:16" x14ac:dyDescent="0.25">
      <c r="A1280" s="5" t="s">
        <v>26</v>
      </c>
      <c r="B1280" s="5" t="s">
        <v>27</v>
      </c>
      <c r="C1280" s="5" t="s">
        <v>28</v>
      </c>
      <c r="D1280" s="5" t="s">
        <v>29</v>
      </c>
      <c r="E1280" s="5" t="s">
        <v>30</v>
      </c>
      <c r="F1280" s="5" t="s">
        <v>31</v>
      </c>
      <c r="G1280" s="5" t="s">
        <v>32</v>
      </c>
      <c r="H1280" s="5" t="s">
        <v>33</v>
      </c>
      <c r="I1280" s="5" t="s">
        <v>34</v>
      </c>
      <c r="J1280" s="5" t="s">
        <v>35</v>
      </c>
      <c r="K1280" s="5" t="s">
        <v>36</v>
      </c>
      <c r="L1280" s="5" t="s">
        <v>37</v>
      </c>
      <c r="M1280" s="5" t="s">
        <v>38</v>
      </c>
      <c r="N1280" s="5" t="s">
        <v>39</v>
      </c>
      <c r="O1280" s="5" t="s">
        <v>40</v>
      </c>
      <c r="P1280" s="5" t="s">
        <v>41</v>
      </c>
    </row>
    <row r="1281" spans="1:16" x14ac:dyDescent="0.25">
      <c r="A1281" s="4"/>
      <c r="B1281" s="4"/>
      <c r="C1281" s="4"/>
      <c r="D1281" s="4"/>
      <c r="E1281" s="4"/>
      <c r="F1281" s="4"/>
      <c r="G1281" s="4"/>
      <c r="H1281" s="6">
        <v>8.0416666666666661</v>
      </c>
      <c r="I1281" s="6">
        <v>8.0416666666666661</v>
      </c>
      <c r="J1281" s="6">
        <v>1.0368055555555555</v>
      </c>
      <c r="K1281" s="3">
        <v>0</v>
      </c>
      <c r="L1281" s="3">
        <v>0</v>
      </c>
      <c r="M1281" s="3">
        <v>0</v>
      </c>
      <c r="N1281" s="3">
        <v>0.11388888888888889</v>
      </c>
      <c r="O1281" s="3">
        <v>0</v>
      </c>
      <c r="P1281" s="3">
        <v>0.36527777777777781</v>
      </c>
    </row>
    <row r="1282" spans="1:16" x14ac:dyDescent="0.25">
      <c r="A1282" s="4" t="s">
        <v>227</v>
      </c>
      <c r="B1282" s="3">
        <v>0.54861111111111105</v>
      </c>
      <c r="C1282" s="3">
        <v>0.72569444444444453</v>
      </c>
      <c r="D1282" s="3">
        <v>0.76458333333333339</v>
      </c>
      <c r="E1282" s="3">
        <v>0.92222222222222217</v>
      </c>
      <c r="F1282" s="4"/>
      <c r="G1282" s="4"/>
      <c r="H1282" s="3">
        <v>0.33333333333333331</v>
      </c>
      <c r="I1282" s="3">
        <v>0.33333333333333331</v>
      </c>
      <c r="J1282" s="4"/>
      <c r="K1282" s="4"/>
      <c r="L1282" s="4"/>
      <c r="M1282" s="4"/>
      <c r="N1282" s="3">
        <v>5.5555555555555558E-3</v>
      </c>
      <c r="O1282" s="4"/>
      <c r="P1282" s="4"/>
    </row>
    <row r="1283" spans="1:16" x14ac:dyDescent="0.25">
      <c r="A1283" s="4" t="s">
        <v>228</v>
      </c>
      <c r="B1283" s="3">
        <v>0.50277777777777777</v>
      </c>
      <c r="C1283" s="3">
        <v>0.78472222222222221</v>
      </c>
      <c r="D1283" s="3">
        <v>0.82847222222222217</v>
      </c>
      <c r="E1283" s="3">
        <v>0.92291666666666661</v>
      </c>
      <c r="F1283" s="4"/>
      <c r="G1283" s="4"/>
      <c r="H1283" s="3">
        <v>0.375</v>
      </c>
      <c r="I1283" s="3">
        <v>0.375</v>
      </c>
      <c r="J1283" s="4"/>
      <c r="K1283" s="4"/>
      <c r="L1283" s="4"/>
      <c r="M1283" s="4"/>
      <c r="N1283" s="3">
        <v>6.2499999999999995E-3</v>
      </c>
      <c r="O1283" s="4"/>
      <c r="P1283" s="4"/>
    </row>
    <row r="1284" spans="1:16" x14ac:dyDescent="0.25">
      <c r="A1284" s="4" t="s">
        <v>229</v>
      </c>
      <c r="B1284" s="3">
        <v>0.5083333333333333</v>
      </c>
      <c r="C1284" s="3">
        <v>0.55694444444444446</v>
      </c>
      <c r="D1284" s="3">
        <v>0.59861111111111109</v>
      </c>
      <c r="E1284" s="3">
        <v>0.92222222222222217</v>
      </c>
      <c r="F1284" s="4"/>
      <c r="G1284" s="4"/>
      <c r="H1284" s="3">
        <v>0.375</v>
      </c>
      <c r="I1284" s="3">
        <v>0.375</v>
      </c>
      <c r="J1284" s="4"/>
      <c r="K1284" s="4"/>
      <c r="L1284" s="4"/>
      <c r="M1284" s="4"/>
      <c r="N1284" s="3">
        <v>5.5555555555555558E-3</v>
      </c>
      <c r="O1284" s="4"/>
      <c r="P1284" s="4"/>
    </row>
    <row r="1285" spans="1:16" x14ac:dyDescent="0.25">
      <c r="A1285" s="4" t="s">
        <v>230</v>
      </c>
      <c r="B1285" s="3">
        <v>0.51250000000000007</v>
      </c>
      <c r="C1285" s="3">
        <v>0.79791666666666661</v>
      </c>
      <c r="D1285" s="3">
        <v>0.83611111111111114</v>
      </c>
      <c r="E1285" s="3">
        <v>0.9243055555555556</v>
      </c>
      <c r="F1285" s="4"/>
      <c r="G1285" s="4"/>
      <c r="H1285" s="3">
        <v>0.375</v>
      </c>
      <c r="I1285" s="3">
        <v>0.375</v>
      </c>
      <c r="J1285" s="4"/>
      <c r="K1285" s="4"/>
      <c r="L1285" s="4"/>
      <c r="M1285" s="4"/>
      <c r="N1285" s="3">
        <v>7.6388888888888886E-3</v>
      </c>
      <c r="O1285" s="4"/>
      <c r="P1285" s="4"/>
    </row>
    <row r="1286" spans="1:16" x14ac:dyDescent="0.25">
      <c r="A1286" s="4" t="s">
        <v>231</v>
      </c>
      <c r="B1286" s="3">
        <v>0.50555555555555554</v>
      </c>
      <c r="C1286" s="3">
        <v>0.8125</v>
      </c>
      <c r="D1286" s="3">
        <v>0.85486111111111107</v>
      </c>
      <c r="E1286" s="3">
        <v>0.92013888888888884</v>
      </c>
      <c r="F1286" s="4"/>
      <c r="G1286" s="4"/>
      <c r="H1286" s="3">
        <v>0.375</v>
      </c>
      <c r="I1286" s="3">
        <v>0.375</v>
      </c>
      <c r="J1286" s="4"/>
      <c r="K1286" s="4"/>
      <c r="L1286" s="4"/>
      <c r="M1286" s="4"/>
      <c r="N1286" s="4"/>
      <c r="O1286" s="4"/>
      <c r="P1286" s="4"/>
    </row>
    <row r="1287" spans="1:16" x14ac:dyDescent="0.25">
      <c r="A1287" s="4" t="s">
        <v>232</v>
      </c>
      <c r="B1287" s="4" t="s">
        <v>25</v>
      </c>
      <c r="C1287" s="4" t="s">
        <v>25</v>
      </c>
      <c r="D1287" s="4" t="s">
        <v>25</v>
      </c>
      <c r="E1287" s="4" t="s">
        <v>25</v>
      </c>
      <c r="F1287" s="4" t="s">
        <v>25</v>
      </c>
      <c r="G1287" s="4" t="s">
        <v>25</v>
      </c>
      <c r="H1287" s="4"/>
      <c r="I1287" s="4"/>
      <c r="J1287" s="4"/>
      <c r="K1287" s="4"/>
      <c r="L1287" s="4"/>
      <c r="M1287" s="4"/>
      <c r="N1287" s="4"/>
      <c r="O1287" s="4"/>
      <c r="P1287" s="4"/>
    </row>
    <row r="1288" spans="1:16" x14ac:dyDescent="0.25">
      <c r="A1288" s="4" t="s">
        <v>233</v>
      </c>
      <c r="B1288" s="4" t="s">
        <v>25</v>
      </c>
      <c r="C1288" s="4" t="s">
        <v>25</v>
      </c>
      <c r="D1288" s="4" t="s">
        <v>25</v>
      </c>
      <c r="E1288" s="4" t="s">
        <v>25</v>
      </c>
      <c r="F1288" s="4" t="s">
        <v>25</v>
      </c>
      <c r="G1288" s="4" t="s">
        <v>25</v>
      </c>
      <c r="H1288" s="4"/>
      <c r="I1288" s="4"/>
      <c r="J1288" s="4"/>
      <c r="K1288" s="4"/>
      <c r="L1288" s="4"/>
      <c r="M1288" s="4"/>
      <c r="N1288" s="4"/>
      <c r="O1288" s="4"/>
      <c r="P1288" s="4"/>
    </row>
    <row r="1289" spans="1:16" x14ac:dyDescent="0.25">
      <c r="A1289" s="4" t="s">
        <v>234</v>
      </c>
      <c r="B1289" s="3">
        <v>0.54166666666666663</v>
      </c>
      <c r="C1289" s="3">
        <v>0.67013888888888884</v>
      </c>
      <c r="D1289" s="3">
        <v>0.70763888888888893</v>
      </c>
      <c r="E1289" s="3">
        <v>0.92222222222222217</v>
      </c>
      <c r="F1289" s="4"/>
      <c r="G1289" s="4"/>
      <c r="H1289" s="3">
        <v>0.33333333333333331</v>
      </c>
      <c r="I1289" s="3">
        <v>0.33333333333333331</v>
      </c>
      <c r="J1289" s="4"/>
      <c r="K1289" s="4"/>
      <c r="L1289" s="4"/>
      <c r="M1289" s="4"/>
      <c r="N1289" s="3">
        <v>5.5555555555555558E-3</v>
      </c>
      <c r="O1289" s="4"/>
      <c r="P1289" s="3">
        <v>9.7222222222222224E-3</v>
      </c>
    </row>
    <row r="1290" spans="1:16" x14ac:dyDescent="0.25">
      <c r="A1290" s="4" t="s">
        <v>235</v>
      </c>
      <c r="B1290" s="3">
        <v>0.50624999999999998</v>
      </c>
      <c r="C1290" s="3">
        <v>0.83958333333333324</v>
      </c>
      <c r="D1290" s="3">
        <v>0.87847222222222221</v>
      </c>
      <c r="E1290" s="3">
        <v>0.92083333333333339</v>
      </c>
      <c r="F1290" s="4"/>
      <c r="G1290" s="4"/>
      <c r="H1290" s="3">
        <v>0.375</v>
      </c>
      <c r="I1290" s="3">
        <v>0.375</v>
      </c>
      <c r="J1290" s="4"/>
      <c r="K1290" s="4"/>
      <c r="L1290" s="4"/>
      <c r="M1290" s="4"/>
      <c r="N1290" s="3">
        <v>4.1666666666666666E-3</v>
      </c>
      <c r="O1290" s="4"/>
      <c r="P1290" s="4"/>
    </row>
    <row r="1291" spans="1:16" x14ac:dyDescent="0.25">
      <c r="A1291" s="4" t="s">
        <v>236</v>
      </c>
      <c r="B1291" s="3">
        <v>0.50486111111111109</v>
      </c>
      <c r="C1291" s="3">
        <v>0.61597222222222225</v>
      </c>
      <c r="D1291" s="3">
        <v>0.65694444444444444</v>
      </c>
      <c r="E1291" s="3">
        <v>0.92083333333333339</v>
      </c>
      <c r="F1291" s="4"/>
      <c r="G1291" s="4"/>
      <c r="H1291" s="3">
        <v>0.375</v>
      </c>
      <c r="I1291" s="3">
        <v>0.375</v>
      </c>
      <c r="J1291" s="4"/>
      <c r="K1291" s="4"/>
      <c r="L1291" s="4"/>
      <c r="M1291" s="4"/>
      <c r="N1291" s="3">
        <v>4.1666666666666666E-3</v>
      </c>
      <c r="O1291" s="4"/>
      <c r="P1291" s="4"/>
    </row>
    <row r="1292" spans="1:16" x14ac:dyDescent="0.25">
      <c r="A1292" s="4" t="s">
        <v>237</v>
      </c>
      <c r="B1292" s="3">
        <v>0.50138888888888888</v>
      </c>
      <c r="C1292" s="3">
        <v>0.56666666666666665</v>
      </c>
      <c r="D1292" s="3">
        <v>0.60972222222222217</v>
      </c>
      <c r="E1292" s="3">
        <v>0.92291666666666661</v>
      </c>
      <c r="F1292" s="4"/>
      <c r="G1292" s="4"/>
      <c r="H1292" s="3">
        <v>0.375</v>
      </c>
      <c r="I1292" s="3">
        <v>0.375</v>
      </c>
      <c r="J1292" s="4"/>
      <c r="K1292" s="4"/>
      <c r="L1292" s="4"/>
      <c r="M1292" s="4"/>
      <c r="N1292" s="3">
        <v>6.2499999999999995E-3</v>
      </c>
      <c r="O1292" s="4"/>
      <c r="P1292" s="4"/>
    </row>
    <row r="1293" spans="1:16" x14ac:dyDescent="0.25">
      <c r="A1293" s="4" t="s">
        <v>238</v>
      </c>
      <c r="B1293" s="3">
        <v>0.51111111111111118</v>
      </c>
      <c r="C1293" s="3">
        <v>0.6333333333333333</v>
      </c>
      <c r="D1293" s="3">
        <v>0.6743055555555556</v>
      </c>
      <c r="E1293" s="3">
        <v>0.92222222222222217</v>
      </c>
      <c r="F1293" s="4"/>
      <c r="G1293" s="4"/>
      <c r="H1293" s="3">
        <v>0.375</v>
      </c>
      <c r="I1293" s="3">
        <v>0.375</v>
      </c>
      <c r="J1293" s="4"/>
      <c r="K1293" s="4"/>
      <c r="L1293" s="4"/>
      <c r="M1293" s="4"/>
      <c r="N1293" s="3">
        <v>5.5555555555555558E-3</v>
      </c>
      <c r="O1293" s="4"/>
      <c r="P1293" s="4"/>
    </row>
    <row r="1294" spans="1:16" x14ac:dyDescent="0.25">
      <c r="A1294" s="4" t="s">
        <v>239</v>
      </c>
      <c r="B1294" s="4" t="s">
        <v>25</v>
      </c>
      <c r="C1294" s="4" t="s">
        <v>25</v>
      </c>
      <c r="D1294" s="4" t="s">
        <v>25</v>
      </c>
      <c r="E1294" s="4" t="s">
        <v>25</v>
      </c>
      <c r="F1294" s="4" t="s">
        <v>25</v>
      </c>
      <c r="G1294" s="4" t="s">
        <v>25</v>
      </c>
      <c r="H1294" s="4"/>
      <c r="I1294" s="4"/>
      <c r="J1294" s="4"/>
      <c r="K1294" s="4"/>
      <c r="L1294" s="4"/>
      <c r="M1294" s="4"/>
      <c r="N1294" s="4"/>
      <c r="O1294" s="4"/>
      <c r="P1294" s="4"/>
    </row>
    <row r="1295" spans="1:16" x14ac:dyDescent="0.25">
      <c r="A1295" s="4" t="s">
        <v>240</v>
      </c>
      <c r="B1295" s="4" t="s">
        <v>25</v>
      </c>
      <c r="C1295" s="4" t="s">
        <v>25</v>
      </c>
      <c r="D1295" s="4" t="s">
        <v>25</v>
      </c>
      <c r="E1295" s="4" t="s">
        <v>25</v>
      </c>
      <c r="F1295" s="4" t="s">
        <v>25</v>
      </c>
      <c r="G1295" s="4" t="s">
        <v>25</v>
      </c>
      <c r="H1295" s="4"/>
      <c r="I1295" s="4"/>
      <c r="J1295" s="4"/>
      <c r="K1295" s="4"/>
      <c r="L1295" s="4"/>
      <c r="M1295" s="4"/>
      <c r="N1295" s="4"/>
      <c r="O1295" s="4"/>
      <c r="P1295" s="4"/>
    </row>
    <row r="1296" spans="1:16" x14ac:dyDescent="0.25">
      <c r="A1296" s="4" t="s">
        <v>241</v>
      </c>
      <c r="B1296" s="3">
        <v>0.53611111111111109</v>
      </c>
      <c r="C1296" s="3">
        <v>0.6791666666666667</v>
      </c>
      <c r="D1296" s="3">
        <v>0.72152777777777777</v>
      </c>
      <c r="E1296" s="3">
        <v>0.91736111111111107</v>
      </c>
      <c r="F1296" s="4"/>
      <c r="G1296" s="4"/>
      <c r="H1296" s="3">
        <v>0.33333333333333331</v>
      </c>
      <c r="I1296" s="3">
        <v>0.33333333333333331</v>
      </c>
      <c r="J1296" s="4"/>
      <c r="K1296" s="4"/>
      <c r="L1296" s="4"/>
      <c r="M1296" s="4"/>
      <c r="N1296" s="4"/>
      <c r="O1296" s="4"/>
      <c r="P1296" s="4"/>
    </row>
    <row r="1297" spans="1:16" x14ac:dyDescent="0.25">
      <c r="A1297" s="4" t="s">
        <v>242</v>
      </c>
      <c r="B1297" s="3">
        <v>0.50416666666666665</v>
      </c>
      <c r="C1297" s="4" t="s">
        <v>277</v>
      </c>
      <c r="D1297" s="3">
        <v>0.85902777777777783</v>
      </c>
      <c r="E1297" s="3">
        <v>0.92152777777777783</v>
      </c>
      <c r="F1297" s="4"/>
      <c r="G1297" s="4"/>
      <c r="H1297" s="3">
        <v>0.375</v>
      </c>
      <c r="I1297" s="3">
        <v>0.375</v>
      </c>
      <c r="J1297" s="4"/>
      <c r="K1297" s="4"/>
      <c r="L1297" s="4"/>
      <c r="M1297" s="4"/>
      <c r="N1297" s="3">
        <v>4.8611111111111112E-3</v>
      </c>
      <c r="O1297" s="4"/>
      <c r="P1297" s="4"/>
    </row>
    <row r="1298" spans="1:16" x14ac:dyDescent="0.25">
      <c r="A1298" s="4" t="s">
        <v>243</v>
      </c>
      <c r="B1298" s="3">
        <v>0.51111111111111118</v>
      </c>
      <c r="C1298" s="3">
        <v>0.77430555555555547</v>
      </c>
      <c r="D1298" s="3">
        <v>0.81458333333333333</v>
      </c>
      <c r="E1298" s="3">
        <v>0.92986111111111114</v>
      </c>
      <c r="F1298" s="4"/>
      <c r="G1298" s="4"/>
      <c r="H1298" s="3">
        <v>0.375</v>
      </c>
      <c r="I1298" s="3">
        <v>0.375</v>
      </c>
      <c r="J1298" s="4"/>
      <c r="K1298" s="4"/>
      <c r="L1298" s="4"/>
      <c r="M1298" s="4"/>
      <c r="N1298" s="3">
        <v>1.3194444444444444E-2</v>
      </c>
      <c r="O1298" s="4"/>
      <c r="P1298" s="4"/>
    </row>
    <row r="1299" spans="1:16" x14ac:dyDescent="0.25">
      <c r="A1299" s="4" t="s">
        <v>244</v>
      </c>
      <c r="B1299" s="3">
        <v>0.38194444444444442</v>
      </c>
      <c r="C1299" s="3">
        <v>0.59236111111111112</v>
      </c>
      <c r="D1299" s="3">
        <v>0.62708333333333333</v>
      </c>
      <c r="E1299" s="4" t="s">
        <v>278</v>
      </c>
      <c r="F1299" s="4"/>
      <c r="G1299" s="4"/>
      <c r="H1299" s="4"/>
      <c r="I1299" s="4"/>
      <c r="J1299" s="4"/>
      <c r="K1299" s="4"/>
      <c r="L1299" s="4"/>
      <c r="M1299" s="4"/>
      <c r="N1299" s="4"/>
      <c r="O1299" s="4"/>
      <c r="P1299" s="3">
        <v>0.33680555555555558</v>
      </c>
    </row>
    <row r="1300" spans="1:16" x14ac:dyDescent="0.25">
      <c r="A1300" s="4" t="s">
        <v>245</v>
      </c>
      <c r="B1300" s="3">
        <v>0.49791666666666662</v>
      </c>
      <c r="C1300" s="3">
        <v>0.59652777777777777</v>
      </c>
      <c r="D1300" s="3">
        <v>0.63263888888888886</v>
      </c>
      <c r="E1300" s="3">
        <v>0.92986111111111114</v>
      </c>
      <c r="F1300" s="4"/>
      <c r="G1300" s="4"/>
      <c r="H1300" s="3">
        <v>0.375</v>
      </c>
      <c r="I1300" s="3">
        <v>0.375</v>
      </c>
      <c r="J1300" s="4"/>
      <c r="K1300" s="4"/>
      <c r="L1300" s="4"/>
      <c r="M1300" s="4"/>
      <c r="N1300" s="3">
        <v>1.3194444444444444E-2</v>
      </c>
      <c r="O1300" s="4"/>
      <c r="P1300" s="3">
        <v>1.8749999999999999E-2</v>
      </c>
    </row>
    <row r="1301" spans="1:16" x14ac:dyDescent="0.25">
      <c r="A1301" s="4" t="s">
        <v>246</v>
      </c>
      <c r="B1301" s="4" t="s">
        <v>25</v>
      </c>
      <c r="C1301" s="4" t="s">
        <v>25</v>
      </c>
      <c r="D1301" s="4" t="s">
        <v>25</v>
      </c>
      <c r="E1301" s="4" t="s">
        <v>25</v>
      </c>
      <c r="F1301" s="4" t="s">
        <v>25</v>
      </c>
      <c r="G1301" s="4" t="s">
        <v>25</v>
      </c>
      <c r="H1301" s="4"/>
      <c r="I1301" s="4"/>
      <c r="J1301" s="4"/>
      <c r="K1301" s="4"/>
      <c r="L1301" s="4"/>
      <c r="M1301" s="4"/>
      <c r="N1301" s="4"/>
      <c r="O1301" s="4"/>
      <c r="P1301" s="4"/>
    </row>
    <row r="1302" spans="1:16" x14ac:dyDescent="0.25">
      <c r="A1302" s="4" t="s">
        <v>247</v>
      </c>
      <c r="B1302" s="4" t="s">
        <v>25</v>
      </c>
      <c r="C1302" s="4" t="s">
        <v>25</v>
      </c>
      <c r="D1302" s="4" t="s">
        <v>25</v>
      </c>
      <c r="E1302" s="4" t="s">
        <v>25</v>
      </c>
      <c r="F1302" s="4" t="s">
        <v>25</v>
      </c>
      <c r="G1302" s="4" t="s">
        <v>25</v>
      </c>
      <c r="H1302" s="4"/>
      <c r="I1302" s="4"/>
      <c r="J1302" s="4"/>
      <c r="K1302" s="4"/>
      <c r="L1302" s="4"/>
      <c r="M1302" s="4"/>
      <c r="N1302" s="4"/>
      <c r="O1302" s="4"/>
      <c r="P1302" s="4"/>
    </row>
    <row r="1303" spans="1:16" x14ac:dyDescent="0.25">
      <c r="A1303" s="4" t="s">
        <v>248</v>
      </c>
      <c r="B1303" s="3">
        <v>0.55347222222222225</v>
      </c>
      <c r="C1303" s="3">
        <v>0.66666666666666663</v>
      </c>
      <c r="D1303" s="3">
        <v>0.7055555555555556</v>
      </c>
      <c r="E1303" s="3">
        <v>0.9291666666666667</v>
      </c>
      <c r="F1303" s="4"/>
      <c r="G1303" s="4"/>
      <c r="H1303" s="3">
        <v>0.33333333333333331</v>
      </c>
      <c r="I1303" s="3">
        <v>0.33333333333333331</v>
      </c>
      <c r="J1303" s="4"/>
      <c r="K1303" s="4"/>
      <c r="L1303" s="4"/>
      <c r="M1303" s="4"/>
      <c r="N1303" s="3">
        <v>1.2499999999999999E-2</v>
      </c>
      <c r="O1303" s="4"/>
      <c r="P1303" s="4"/>
    </row>
    <row r="1304" spans="1:16" x14ac:dyDescent="0.25">
      <c r="A1304" s="4" t="s">
        <v>249</v>
      </c>
      <c r="B1304" s="3">
        <v>0.51388888888888895</v>
      </c>
      <c r="C1304" s="3">
        <v>0.6020833333333333</v>
      </c>
      <c r="D1304" s="4" t="s">
        <v>52</v>
      </c>
      <c r="E1304" s="4" t="s">
        <v>52</v>
      </c>
      <c r="F1304" s="4"/>
      <c r="G1304" s="4"/>
      <c r="H1304" s="3">
        <v>0.375</v>
      </c>
      <c r="I1304" s="3">
        <v>0.375</v>
      </c>
      <c r="J1304" s="3">
        <v>0.28680555555555554</v>
      </c>
      <c r="K1304" s="4"/>
      <c r="L1304" s="4"/>
      <c r="M1304" s="4"/>
      <c r="N1304" s="4"/>
      <c r="O1304" s="4"/>
      <c r="P1304" s="4"/>
    </row>
    <row r="1305" spans="1:16" x14ac:dyDescent="0.25">
      <c r="A1305" s="4" t="s">
        <v>251</v>
      </c>
      <c r="B1305" s="4" t="s">
        <v>52</v>
      </c>
      <c r="C1305" s="4" t="s">
        <v>52</v>
      </c>
      <c r="D1305" s="4" t="s">
        <v>52</v>
      </c>
      <c r="E1305" s="4" t="s">
        <v>52</v>
      </c>
      <c r="F1305" s="4"/>
      <c r="G1305" s="4"/>
      <c r="H1305" s="3">
        <v>0.375</v>
      </c>
      <c r="I1305" s="3">
        <v>0.375</v>
      </c>
      <c r="J1305" s="3">
        <v>0.375</v>
      </c>
      <c r="K1305" s="4"/>
      <c r="L1305" s="4"/>
      <c r="M1305" s="4"/>
      <c r="N1305" s="4"/>
      <c r="O1305" s="4"/>
      <c r="P1305" s="4"/>
    </row>
    <row r="1306" spans="1:16" x14ac:dyDescent="0.25">
      <c r="A1306" s="4" t="s">
        <v>256</v>
      </c>
      <c r="B1306" s="4" t="s">
        <v>52</v>
      </c>
      <c r="C1306" s="4" t="s">
        <v>52</v>
      </c>
      <c r="D1306" s="4" t="s">
        <v>52</v>
      </c>
      <c r="E1306" s="4" t="s">
        <v>52</v>
      </c>
      <c r="F1306" s="4"/>
      <c r="G1306" s="4"/>
      <c r="H1306" s="3">
        <v>0.375</v>
      </c>
      <c r="I1306" s="3">
        <v>0.375</v>
      </c>
      <c r="J1306" s="3">
        <v>0.375</v>
      </c>
      <c r="K1306" s="4"/>
      <c r="L1306" s="4"/>
      <c r="M1306" s="4"/>
      <c r="N1306" s="4"/>
      <c r="O1306" s="4"/>
      <c r="P1306" s="4"/>
    </row>
    <row r="1307" spans="1:16" x14ac:dyDescent="0.25">
      <c r="A1307" s="4" t="s">
        <v>259</v>
      </c>
      <c r="B1307" s="3">
        <v>0.51111111111111118</v>
      </c>
      <c r="C1307" s="3">
        <v>0.62777777777777777</v>
      </c>
      <c r="D1307" s="3">
        <v>0.67152777777777783</v>
      </c>
      <c r="E1307" s="3">
        <v>0.92708333333333337</v>
      </c>
      <c r="F1307" s="4"/>
      <c r="G1307" s="4"/>
      <c r="H1307" s="3">
        <v>0.375</v>
      </c>
      <c r="I1307" s="3">
        <v>0.375</v>
      </c>
      <c r="J1307" s="4"/>
      <c r="K1307" s="4"/>
      <c r="L1307" s="4"/>
      <c r="M1307" s="4"/>
      <c r="N1307" s="3">
        <v>1.0416666666666666E-2</v>
      </c>
      <c r="O1307" s="4"/>
      <c r="P1307" s="4"/>
    </row>
    <row r="1308" spans="1:16" x14ac:dyDescent="0.25">
      <c r="A1308" s="4" t="s">
        <v>260</v>
      </c>
      <c r="B1308" s="4" t="s">
        <v>25</v>
      </c>
      <c r="C1308" s="4" t="s">
        <v>25</v>
      </c>
      <c r="D1308" s="4" t="s">
        <v>25</v>
      </c>
      <c r="E1308" s="4" t="s">
        <v>25</v>
      </c>
      <c r="F1308" s="4" t="s">
        <v>25</v>
      </c>
      <c r="G1308" s="4" t="s">
        <v>25</v>
      </c>
      <c r="H1308" s="4"/>
      <c r="I1308" s="4"/>
      <c r="J1308" s="4"/>
      <c r="K1308" s="4"/>
      <c r="L1308" s="4"/>
      <c r="M1308" s="4"/>
      <c r="N1308" s="4"/>
      <c r="O1308" s="4"/>
      <c r="P1308" s="4"/>
    </row>
    <row r="1309" spans="1:16" x14ac:dyDescent="0.25">
      <c r="A1309" s="4" t="s">
        <v>261</v>
      </c>
      <c r="B1309" s="4" t="s">
        <v>25</v>
      </c>
      <c r="C1309" s="4" t="s">
        <v>25</v>
      </c>
      <c r="D1309" s="4" t="s">
        <v>25</v>
      </c>
      <c r="E1309" s="4" t="s">
        <v>25</v>
      </c>
      <c r="F1309" s="4" t="s">
        <v>25</v>
      </c>
      <c r="G1309" s="4" t="s">
        <v>25</v>
      </c>
      <c r="H1309" s="4"/>
      <c r="I1309" s="4"/>
      <c r="J1309" s="4"/>
      <c r="K1309" s="4"/>
      <c r="L1309" s="4"/>
      <c r="M1309" s="4"/>
      <c r="N1309" s="4"/>
      <c r="O1309" s="4"/>
      <c r="P1309" s="4"/>
    </row>
    <row r="1310" spans="1:16" x14ac:dyDescent="0.25">
      <c r="A1310" s="4" t="s">
        <v>262</v>
      </c>
      <c r="B1310" s="3">
        <v>0.54583333333333328</v>
      </c>
      <c r="C1310" s="3">
        <v>0.62708333333333333</v>
      </c>
      <c r="D1310" s="3">
        <v>0.66805555555555562</v>
      </c>
      <c r="E1310" s="3">
        <v>0.92083333333333339</v>
      </c>
      <c r="F1310" s="4"/>
      <c r="G1310" s="4"/>
      <c r="H1310" s="3">
        <v>0.33333333333333331</v>
      </c>
      <c r="I1310" s="3">
        <v>0.33333333333333331</v>
      </c>
      <c r="J1310" s="4"/>
      <c r="K1310" s="4"/>
      <c r="L1310" s="4"/>
      <c r="M1310" s="4"/>
      <c r="N1310" s="3">
        <v>4.1666666666666666E-3</v>
      </c>
      <c r="O1310" s="4"/>
      <c r="P1310" s="4"/>
    </row>
    <row r="1311" spans="1:16" x14ac:dyDescent="0.25">
      <c r="A1311" s="4" t="s">
        <v>263</v>
      </c>
      <c r="B1311" s="3">
        <v>0.50624999999999998</v>
      </c>
      <c r="C1311" s="3">
        <v>0.56736111111111109</v>
      </c>
      <c r="D1311" s="3">
        <v>0.60833333333333328</v>
      </c>
      <c r="E1311" s="3">
        <v>0.92152777777777783</v>
      </c>
      <c r="F1311" s="4"/>
      <c r="G1311" s="4"/>
      <c r="H1311" s="3">
        <v>0.375</v>
      </c>
      <c r="I1311" s="3">
        <v>0.375</v>
      </c>
      <c r="J1311" s="4"/>
      <c r="K1311" s="4"/>
      <c r="L1311" s="4"/>
      <c r="M1311" s="4"/>
      <c r="N1311" s="3">
        <v>4.8611111111111112E-3</v>
      </c>
      <c r="O1311" s="4"/>
      <c r="P1311" s="4"/>
    </row>
    <row r="1312" spans="1:16" x14ac:dyDescent="0.25">
      <c r="A1312" s="4" t="s">
        <v>264</v>
      </c>
      <c r="B1312" s="3">
        <v>0.50416666666666665</v>
      </c>
      <c r="C1312" s="3">
        <v>0.58680555555555558</v>
      </c>
      <c r="D1312" s="3">
        <v>0.62847222222222221</v>
      </c>
      <c r="E1312" s="3">
        <v>0.92013888888888884</v>
      </c>
      <c r="F1312" s="4"/>
      <c r="G1312" s="4"/>
      <c r="H1312" s="3">
        <v>0.375</v>
      </c>
      <c r="I1312" s="3">
        <v>0.375</v>
      </c>
      <c r="J1312" s="4"/>
      <c r="K1312" s="4"/>
      <c r="L1312" s="4"/>
      <c r="M1312" s="4"/>
      <c r="N1312" s="4"/>
      <c r="O1312" s="4"/>
      <c r="P1312" s="4"/>
    </row>
    <row r="1314" spans="1:13" x14ac:dyDescent="0.25">
      <c r="A1314" s="7" t="s">
        <v>45</v>
      </c>
    </row>
    <row r="1317" spans="1:13" x14ac:dyDescent="0.25">
      <c r="A1317" s="7" t="s">
        <v>46</v>
      </c>
    </row>
    <row r="1318" spans="1:13" x14ac:dyDescent="0.25">
      <c r="A1318" s="7" t="s">
        <v>98</v>
      </c>
      <c r="F1318" s="7" t="s">
        <v>47</v>
      </c>
    </row>
    <row r="1319" spans="1:13" x14ac:dyDescent="0.25">
      <c r="F1319" s="7"/>
    </row>
    <row r="1323" spans="1:13" x14ac:dyDescent="0.25">
      <c r="G1323" s="1" t="s">
        <v>18</v>
      </c>
    </row>
    <row r="1324" spans="1:13" x14ac:dyDescent="0.25">
      <c r="A1324" s="1" t="s">
        <v>1</v>
      </c>
      <c r="B1324" t="s">
        <v>2</v>
      </c>
      <c r="H1324" s="1" t="s">
        <v>19</v>
      </c>
      <c r="I1324" s="1" t="s">
        <v>20</v>
      </c>
      <c r="J1324" s="1" t="s">
        <v>21</v>
      </c>
      <c r="K1324" s="1" t="s">
        <v>22</v>
      </c>
      <c r="L1324" s="1" t="s">
        <v>23</v>
      </c>
      <c r="M1324" s="1" t="s">
        <v>24</v>
      </c>
    </row>
    <row r="1325" spans="1:13" x14ac:dyDescent="0.25">
      <c r="A1325" s="1" t="s">
        <v>3</v>
      </c>
      <c r="B1325" t="s">
        <v>4</v>
      </c>
      <c r="G1325" s="1" t="s">
        <v>220</v>
      </c>
      <c r="H1325" s="3">
        <v>0.54166666666666663</v>
      </c>
      <c r="I1325" s="3">
        <v>0.79166666666666663</v>
      </c>
      <c r="J1325" s="3">
        <v>0.83333333333333337</v>
      </c>
      <c r="K1325" s="3">
        <v>0.91666666666666663</v>
      </c>
      <c r="L1325" s="4"/>
      <c r="M1325" s="4"/>
    </row>
    <row r="1326" spans="1:13" x14ac:dyDescent="0.25">
      <c r="A1326" s="1" t="s">
        <v>5</v>
      </c>
      <c r="B1326" t="s">
        <v>6</v>
      </c>
      <c r="G1326" s="1" t="s">
        <v>221</v>
      </c>
      <c r="H1326" s="3">
        <v>0.5</v>
      </c>
      <c r="I1326" s="3">
        <v>0.79166666666666663</v>
      </c>
      <c r="J1326" s="3">
        <v>0.83333333333333337</v>
      </c>
      <c r="K1326" s="3">
        <v>0.91666666666666663</v>
      </c>
      <c r="L1326" s="4"/>
      <c r="M1326" s="4"/>
    </row>
    <row r="1327" spans="1:13" x14ac:dyDescent="0.25">
      <c r="G1327" s="1" t="s">
        <v>222</v>
      </c>
      <c r="H1327" s="3">
        <v>0.5</v>
      </c>
      <c r="I1327" s="3">
        <v>0.79166666666666663</v>
      </c>
      <c r="J1327" s="3">
        <v>0.83333333333333337</v>
      </c>
      <c r="K1327" s="3">
        <v>0.91666666666666663</v>
      </c>
      <c r="L1327" s="4"/>
      <c r="M1327" s="4"/>
    </row>
    <row r="1328" spans="1:13" x14ac:dyDescent="0.25">
      <c r="A1328" s="1" t="s">
        <v>7</v>
      </c>
      <c r="B1328" t="s">
        <v>279</v>
      </c>
      <c r="G1328" s="1" t="s">
        <v>223</v>
      </c>
      <c r="H1328" s="3">
        <v>0.5</v>
      </c>
      <c r="I1328" s="3">
        <v>0.79166666666666663</v>
      </c>
      <c r="J1328" s="3">
        <v>0.83333333333333337</v>
      </c>
      <c r="K1328" s="3">
        <v>0.91666666666666663</v>
      </c>
      <c r="L1328" s="4"/>
      <c r="M1328" s="4"/>
    </row>
    <row r="1329" spans="1:16" x14ac:dyDescent="0.25">
      <c r="A1329" s="1" t="s">
        <v>9</v>
      </c>
      <c r="B1329" t="s">
        <v>280</v>
      </c>
      <c r="D1329" s="1" t="s">
        <v>11</v>
      </c>
      <c r="E1329" t="s">
        <v>280</v>
      </c>
      <c r="G1329" s="1" t="s">
        <v>224</v>
      </c>
      <c r="H1329" s="3">
        <v>0.5</v>
      </c>
      <c r="I1329" s="3">
        <v>0.79166666666666663</v>
      </c>
      <c r="J1329" s="3">
        <v>0.83333333333333337</v>
      </c>
      <c r="K1329" s="3">
        <v>0.91666666666666663</v>
      </c>
      <c r="L1329" s="4"/>
      <c r="M1329" s="4"/>
    </row>
    <row r="1330" spans="1:16" x14ac:dyDescent="0.25">
      <c r="A1330" s="1" t="s">
        <v>12</v>
      </c>
      <c r="D1330" s="1" t="s">
        <v>13</v>
      </c>
      <c r="E1330" s="2">
        <v>42982</v>
      </c>
      <c r="G1330" s="1" t="s">
        <v>225</v>
      </c>
      <c r="H1330" s="4" t="s">
        <v>25</v>
      </c>
      <c r="I1330" s="4" t="s">
        <v>25</v>
      </c>
      <c r="J1330" s="4" t="s">
        <v>25</v>
      </c>
      <c r="K1330" s="4" t="s">
        <v>25</v>
      </c>
      <c r="L1330" s="4" t="s">
        <v>25</v>
      </c>
      <c r="M1330" s="4" t="s">
        <v>25</v>
      </c>
    </row>
    <row r="1331" spans="1:16" x14ac:dyDescent="0.25">
      <c r="A1331" s="1" t="s">
        <v>14</v>
      </c>
      <c r="B1331" t="s">
        <v>15</v>
      </c>
      <c r="G1331" s="1" t="s">
        <v>226</v>
      </c>
      <c r="H1331" s="4" t="s">
        <v>25</v>
      </c>
      <c r="I1331" s="4" t="s">
        <v>25</v>
      </c>
      <c r="J1331" s="4" t="s">
        <v>25</v>
      </c>
      <c r="K1331" s="4" t="s">
        <v>25</v>
      </c>
      <c r="L1331" s="4" t="s">
        <v>25</v>
      </c>
      <c r="M1331" s="4" t="s">
        <v>25</v>
      </c>
    </row>
    <row r="1332" spans="1:16" x14ac:dyDescent="0.25">
      <c r="A1332" s="1" t="s">
        <v>16</v>
      </c>
      <c r="B1332" t="s">
        <v>281</v>
      </c>
    </row>
    <row r="1335" spans="1:16" x14ac:dyDescent="0.25">
      <c r="A1335" s="5" t="s">
        <v>26</v>
      </c>
      <c r="B1335" s="5" t="s">
        <v>27</v>
      </c>
      <c r="C1335" s="5" t="s">
        <v>28</v>
      </c>
      <c r="D1335" s="5" t="s">
        <v>29</v>
      </c>
      <c r="E1335" s="5" t="s">
        <v>30</v>
      </c>
      <c r="F1335" s="5" t="s">
        <v>31</v>
      </c>
      <c r="G1335" s="5" t="s">
        <v>32</v>
      </c>
      <c r="H1335" s="5" t="s">
        <v>33</v>
      </c>
      <c r="I1335" s="5" t="s">
        <v>34</v>
      </c>
      <c r="J1335" s="5" t="s">
        <v>35</v>
      </c>
      <c r="K1335" s="5" t="s">
        <v>36</v>
      </c>
      <c r="L1335" s="5" t="s">
        <v>37</v>
      </c>
      <c r="M1335" s="5" t="s">
        <v>38</v>
      </c>
      <c r="N1335" s="5" t="s">
        <v>39</v>
      </c>
      <c r="O1335" s="5" t="s">
        <v>40</v>
      </c>
      <c r="P1335" s="5" t="s">
        <v>41</v>
      </c>
    </row>
    <row r="1336" spans="1:16" x14ac:dyDescent="0.25">
      <c r="A1336" s="4"/>
      <c r="B1336" s="4"/>
      <c r="C1336" s="4"/>
      <c r="D1336" s="4"/>
      <c r="E1336" s="4"/>
      <c r="F1336" s="4"/>
      <c r="G1336" s="4"/>
      <c r="H1336" s="6">
        <v>4.375</v>
      </c>
      <c r="I1336" s="6">
        <v>4.375</v>
      </c>
      <c r="J1336" s="6">
        <v>4.375</v>
      </c>
      <c r="K1336" s="3">
        <v>0</v>
      </c>
      <c r="L1336" s="3">
        <v>0.55555555555555558</v>
      </c>
      <c r="M1336" s="3">
        <v>0.55555555555555558</v>
      </c>
      <c r="N1336" s="3">
        <v>0</v>
      </c>
      <c r="O1336" s="3">
        <v>0</v>
      </c>
      <c r="P1336" s="3">
        <v>0</v>
      </c>
    </row>
    <row r="1337" spans="1:16" x14ac:dyDescent="0.25">
      <c r="A1337" s="4" t="s">
        <v>227</v>
      </c>
      <c r="B1337" s="4"/>
      <c r="C1337" s="4"/>
      <c r="D1337" s="4"/>
      <c r="E1337" s="4"/>
      <c r="F1337" s="4"/>
      <c r="G1337" s="4"/>
      <c r="H1337" s="4"/>
      <c r="I1337" s="4"/>
      <c r="J1337" s="4"/>
      <c r="K1337" s="4"/>
      <c r="L1337" s="4"/>
      <c r="M1337" s="4"/>
      <c r="N1337" s="4"/>
      <c r="O1337" s="4"/>
      <c r="P1337" s="4"/>
    </row>
    <row r="1338" spans="1:16" x14ac:dyDescent="0.25">
      <c r="A1338" s="4" t="s">
        <v>228</v>
      </c>
      <c r="B1338" s="4"/>
      <c r="C1338" s="4"/>
      <c r="D1338" s="4"/>
      <c r="E1338" s="4"/>
      <c r="F1338" s="4"/>
      <c r="G1338" s="4"/>
      <c r="H1338" s="4"/>
      <c r="I1338" s="4"/>
      <c r="J1338" s="4"/>
      <c r="K1338" s="4"/>
      <c r="L1338" s="4"/>
      <c r="M1338" s="4"/>
      <c r="N1338" s="4"/>
      <c r="O1338" s="4"/>
      <c r="P1338" s="4"/>
    </row>
    <row r="1339" spans="1:16" x14ac:dyDescent="0.25">
      <c r="A1339" s="4" t="s">
        <v>229</v>
      </c>
      <c r="B1339" s="4"/>
      <c r="C1339" s="4"/>
      <c r="D1339" s="4"/>
      <c r="E1339" s="4"/>
      <c r="F1339" s="4"/>
      <c r="G1339" s="4"/>
      <c r="H1339" s="4"/>
      <c r="I1339" s="4"/>
      <c r="J1339" s="4"/>
      <c r="K1339" s="4"/>
      <c r="L1339" s="4"/>
      <c r="M1339" s="4"/>
      <c r="N1339" s="4"/>
      <c r="O1339" s="4"/>
      <c r="P1339" s="4"/>
    </row>
    <row r="1340" spans="1:16" x14ac:dyDescent="0.25">
      <c r="A1340" s="4" t="s">
        <v>230</v>
      </c>
      <c r="B1340" s="4"/>
      <c r="C1340" s="4"/>
      <c r="D1340" s="4"/>
      <c r="E1340" s="4"/>
      <c r="F1340" s="4"/>
      <c r="G1340" s="4"/>
      <c r="H1340" s="4"/>
      <c r="I1340" s="4"/>
      <c r="J1340" s="4"/>
      <c r="K1340" s="4"/>
      <c r="L1340" s="4"/>
      <c r="M1340" s="4"/>
      <c r="N1340" s="4"/>
      <c r="O1340" s="4"/>
      <c r="P1340" s="4"/>
    </row>
    <row r="1341" spans="1:16" x14ac:dyDescent="0.25">
      <c r="A1341" s="4" t="s">
        <v>231</v>
      </c>
      <c r="B1341" s="4"/>
      <c r="C1341" s="4"/>
      <c r="D1341" s="4"/>
      <c r="E1341" s="4"/>
      <c r="F1341" s="4"/>
      <c r="G1341" s="4"/>
      <c r="H1341" s="4"/>
      <c r="I1341" s="4"/>
      <c r="J1341" s="4"/>
      <c r="K1341" s="4"/>
      <c r="L1341" s="4"/>
      <c r="M1341" s="4"/>
      <c r="N1341" s="4"/>
      <c r="O1341" s="4"/>
      <c r="P1341" s="4"/>
    </row>
    <row r="1342" spans="1:16" x14ac:dyDescent="0.25">
      <c r="A1342" s="4" t="s">
        <v>232</v>
      </c>
      <c r="B1342" s="4"/>
      <c r="C1342" s="4"/>
      <c r="D1342" s="4"/>
      <c r="E1342" s="4"/>
      <c r="F1342" s="4"/>
      <c r="G1342" s="4"/>
      <c r="H1342" s="4"/>
      <c r="I1342" s="4"/>
      <c r="J1342" s="4"/>
      <c r="K1342" s="4"/>
      <c r="L1342" s="4"/>
      <c r="M1342" s="4"/>
      <c r="N1342" s="4"/>
      <c r="O1342" s="4"/>
      <c r="P1342" s="4"/>
    </row>
    <row r="1343" spans="1:16" x14ac:dyDescent="0.25">
      <c r="A1343" s="4" t="s">
        <v>233</v>
      </c>
      <c r="B1343" s="4"/>
      <c r="C1343" s="4"/>
      <c r="D1343" s="4"/>
      <c r="E1343" s="4"/>
      <c r="F1343" s="4"/>
      <c r="G1343" s="4"/>
      <c r="H1343" s="4"/>
      <c r="I1343" s="4"/>
      <c r="J1343" s="4"/>
      <c r="K1343" s="4"/>
      <c r="L1343" s="4"/>
      <c r="M1343" s="3">
        <v>0.27777777777777779</v>
      </c>
      <c r="N1343" s="4"/>
      <c r="O1343" s="4"/>
      <c r="P1343" s="4"/>
    </row>
    <row r="1344" spans="1:16" x14ac:dyDescent="0.25">
      <c r="A1344" s="4" t="s">
        <v>234</v>
      </c>
      <c r="B1344" s="4"/>
      <c r="C1344" s="4"/>
      <c r="D1344" s="4"/>
      <c r="E1344" s="4"/>
      <c r="F1344" s="4"/>
      <c r="G1344" s="4"/>
      <c r="H1344" s="4"/>
      <c r="I1344" s="4"/>
      <c r="J1344" s="4"/>
      <c r="K1344" s="4"/>
      <c r="L1344" s="4"/>
      <c r="M1344" s="4"/>
      <c r="N1344" s="4"/>
      <c r="O1344" s="4"/>
      <c r="P1344" s="4"/>
    </row>
    <row r="1345" spans="1:16" x14ac:dyDescent="0.25">
      <c r="A1345" s="4" t="s">
        <v>235</v>
      </c>
      <c r="B1345" s="4"/>
      <c r="C1345" s="4"/>
      <c r="D1345" s="4"/>
      <c r="E1345" s="4"/>
      <c r="F1345" s="4"/>
      <c r="G1345" s="4"/>
      <c r="H1345" s="4"/>
      <c r="I1345" s="4"/>
      <c r="J1345" s="4"/>
      <c r="K1345" s="4"/>
      <c r="L1345" s="4"/>
      <c r="M1345" s="4"/>
      <c r="N1345" s="4"/>
      <c r="O1345" s="4"/>
      <c r="P1345" s="4"/>
    </row>
    <row r="1346" spans="1:16" x14ac:dyDescent="0.25">
      <c r="A1346" s="4" t="s">
        <v>236</v>
      </c>
      <c r="B1346" s="4"/>
      <c r="C1346" s="4"/>
      <c r="D1346" s="4"/>
      <c r="E1346" s="4"/>
      <c r="F1346" s="4"/>
      <c r="G1346" s="4"/>
      <c r="H1346" s="4"/>
      <c r="I1346" s="4"/>
      <c r="J1346" s="4"/>
      <c r="K1346" s="4"/>
      <c r="L1346" s="4"/>
      <c r="M1346" s="4"/>
      <c r="N1346" s="4"/>
      <c r="O1346" s="4"/>
      <c r="P1346" s="4"/>
    </row>
    <row r="1347" spans="1:16" x14ac:dyDescent="0.25">
      <c r="A1347" s="4" t="s">
        <v>237</v>
      </c>
      <c r="B1347" s="4"/>
      <c r="C1347" s="4"/>
      <c r="D1347" s="4"/>
      <c r="E1347" s="4"/>
      <c r="F1347" s="4"/>
      <c r="G1347" s="4"/>
      <c r="H1347" s="4"/>
      <c r="I1347" s="4"/>
      <c r="J1347" s="4"/>
      <c r="K1347" s="4"/>
      <c r="L1347" s="4"/>
      <c r="M1347" s="4"/>
      <c r="N1347" s="4"/>
      <c r="O1347" s="4"/>
      <c r="P1347" s="4"/>
    </row>
    <row r="1348" spans="1:16" x14ac:dyDescent="0.25">
      <c r="A1348" s="4" t="s">
        <v>238</v>
      </c>
      <c r="B1348" s="4"/>
      <c r="C1348" s="4"/>
      <c r="D1348" s="4"/>
      <c r="E1348" s="4"/>
      <c r="F1348" s="4"/>
      <c r="G1348" s="4"/>
      <c r="H1348" s="4"/>
      <c r="I1348" s="4"/>
      <c r="J1348" s="4"/>
      <c r="K1348" s="4"/>
      <c r="L1348" s="4"/>
      <c r="M1348" s="4"/>
      <c r="N1348" s="4"/>
      <c r="O1348" s="4"/>
      <c r="P1348" s="4"/>
    </row>
    <row r="1349" spans="1:16" x14ac:dyDescent="0.25">
      <c r="A1349" s="4" t="s">
        <v>239</v>
      </c>
      <c r="B1349" s="4"/>
      <c r="C1349" s="4"/>
      <c r="D1349" s="4"/>
      <c r="E1349" s="4"/>
      <c r="F1349" s="4"/>
      <c r="G1349" s="4"/>
      <c r="H1349" s="4"/>
      <c r="I1349" s="4"/>
      <c r="J1349" s="4"/>
      <c r="K1349" s="4"/>
      <c r="L1349" s="4"/>
      <c r="M1349" s="4"/>
      <c r="N1349" s="4"/>
      <c r="O1349" s="4"/>
      <c r="P1349" s="4"/>
    </row>
    <row r="1350" spans="1:16" x14ac:dyDescent="0.25">
      <c r="A1350" s="4" t="s">
        <v>240</v>
      </c>
      <c r="B1350" s="4"/>
      <c r="C1350" s="4"/>
      <c r="D1350" s="4"/>
      <c r="E1350" s="4"/>
      <c r="F1350" s="4"/>
      <c r="G1350" s="4"/>
      <c r="H1350" s="4"/>
      <c r="I1350" s="4"/>
      <c r="J1350" s="4"/>
      <c r="K1350" s="4"/>
      <c r="L1350" s="4"/>
      <c r="M1350" s="3">
        <v>0.27777777777777779</v>
      </c>
      <c r="N1350" s="4"/>
      <c r="O1350" s="4"/>
      <c r="P1350" s="4"/>
    </row>
    <row r="1351" spans="1:16" x14ac:dyDescent="0.25">
      <c r="A1351" s="4" t="s">
        <v>241</v>
      </c>
      <c r="B1351" s="4" t="s">
        <v>52</v>
      </c>
      <c r="C1351" s="4" t="s">
        <v>52</v>
      </c>
      <c r="D1351" s="4" t="s">
        <v>52</v>
      </c>
      <c r="E1351" s="4" t="s">
        <v>52</v>
      </c>
      <c r="F1351" s="4"/>
      <c r="G1351" s="4"/>
      <c r="H1351" s="3">
        <v>0.33333333333333331</v>
      </c>
      <c r="I1351" s="3">
        <v>0.33333333333333331</v>
      </c>
      <c r="J1351" s="3">
        <v>0.33333333333333331</v>
      </c>
      <c r="K1351" s="4"/>
      <c r="L1351" s="4"/>
      <c r="M1351" s="4"/>
      <c r="N1351" s="4"/>
      <c r="O1351" s="4"/>
      <c r="P1351" s="4"/>
    </row>
    <row r="1352" spans="1:16" x14ac:dyDescent="0.25">
      <c r="A1352" s="4" t="s">
        <v>242</v>
      </c>
      <c r="B1352" s="4" t="s">
        <v>52</v>
      </c>
      <c r="C1352" s="4" t="s">
        <v>52</v>
      </c>
      <c r="D1352" s="4" t="s">
        <v>52</v>
      </c>
      <c r="E1352" s="4" t="s">
        <v>52</v>
      </c>
      <c r="F1352" s="4"/>
      <c r="G1352" s="4"/>
      <c r="H1352" s="3">
        <v>0.375</v>
      </c>
      <c r="I1352" s="3">
        <v>0.375</v>
      </c>
      <c r="J1352" s="3">
        <v>0.375</v>
      </c>
      <c r="K1352" s="4"/>
      <c r="L1352" s="4"/>
      <c r="M1352" s="4"/>
      <c r="N1352" s="4"/>
      <c r="O1352" s="4"/>
      <c r="P1352" s="4"/>
    </row>
    <row r="1353" spans="1:16" x14ac:dyDescent="0.25">
      <c r="A1353" s="4" t="s">
        <v>243</v>
      </c>
      <c r="B1353" s="4" t="s">
        <v>52</v>
      </c>
      <c r="C1353" s="4" t="s">
        <v>52</v>
      </c>
      <c r="D1353" s="4" t="s">
        <v>52</v>
      </c>
      <c r="E1353" s="4" t="s">
        <v>52</v>
      </c>
      <c r="F1353" s="4"/>
      <c r="G1353" s="4"/>
      <c r="H1353" s="3">
        <v>0.375</v>
      </c>
      <c r="I1353" s="3">
        <v>0.375</v>
      </c>
      <c r="J1353" s="3">
        <v>0.375</v>
      </c>
      <c r="K1353" s="4"/>
      <c r="L1353" s="4"/>
      <c r="M1353" s="4"/>
      <c r="N1353" s="4"/>
      <c r="O1353" s="4"/>
      <c r="P1353" s="4"/>
    </row>
    <row r="1354" spans="1:16" x14ac:dyDescent="0.25">
      <c r="A1354" s="4" t="s">
        <v>244</v>
      </c>
      <c r="B1354" s="4" t="s">
        <v>265</v>
      </c>
      <c r="C1354" s="4" t="s">
        <v>265</v>
      </c>
      <c r="D1354" s="4" t="s">
        <v>265</v>
      </c>
      <c r="E1354" s="4" t="s">
        <v>265</v>
      </c>
      <c r="F1354" s="4" t="s">
        <v>265</v>
      </c>
      <c r="G1354" s="4" t="s">
        <v>265</v>
      </c>
      <c r="H1354" s="4"/>
      <c r="I1354" s="4"/>
      <c r="J1354" s="4"/>
      <c r="K1354" s="4"/>
      <c r="L1354" s="4"/>
      <c r="M1354" s="4"/>
      <c r="N1354" s="4"/>
      <c r="O1354" s="4"/>
      <c r="P1354" s="4"/>
    </row>
    <row r="1355" spans="1:16" x14ac:dyDescent="0.25">
      <c r="A1355" s="4" t="s">
        <v>245</v>
      </c>
      <c r="B1355" s="4" t="s">
        <v>52</v>
      </c>
      <c r="C1355" s="4" t="s">
        <v>52</v>
      </c>
      <c r="D1355" s="4" t="s">
        <v>52</v>
      </c>
      <c r="E1355" s="4" t="s">
        <v>52</v>
      </c>
      <c r="F1355" s="4"/>
      <c r="G1355" s="4"/>
      <c r="H1355" s="3">
        <v>0.375</v>
      </c>
      <c r="I1355" s="3">
        <v>0.375</v>
      </c>
      <c r="J1355" s="3">
        <v>0.375</v>
      </c>
      <c r="K1355" s="4"/>
      <c r="L1355" s="4"/>
      <c r="M1355" s="4"/>
      <c r="N1355" s="4"/>
      <c r="O1355" s="4"/>
      <c r="P1355" s="4"/>
    </row>
    <row r="1356" spans="1:16" x14ac:dyDescent="0.25">
      <c r="A1356" s="4" t="s">
        <v>246</v>
      </c>
      <c r="B1356" s="4"/>
      <c r="C1356" s="4"/>
      <c r="D1356" s="4"/>
      <c r="E1356" s="4"/>
      <c r="F1356" s="4"/>
      <c r="G1356" s="4"/>
      <c r="H1356" s="4"/>
      <c r="I1356" s="4"/>
      <c r="J1356" s="4"/>
      <c r="K1356" s="4"/>
      <c r="L1356" s="4"/>
      <c r="M1356" s="4"/>
      <c r="N1356" s="4"/>
      <c r="O1356" s="4"/>
      <c r="P1356" s="4"/>
    </row>
    <row r="1357" spans="1:16" x14ac:dyDescent="0.25">
      <c r="A1357" s="4" t="s">
        <v>247</v>
      </c>
      <c r="B1357" s="4"/>
      <c r="C1357" s="4"/>
      <c r="D1357" s="4"/>
      <c r="E1357" s="4"/>
      <c r="F1357" s="4"/>
      <c r="G1357" s="4"/>
      <c r="H1357" s="4"/>
      <c r="I1357" s="4"/>
      <c r="J1357" s="4"/>
      <c r="K1357" s="4"/>
      <c r="L1357" s="3">
        <v>0.27777777777777779</v>
      </c>
      <c r="M1357" s="4"/>
      <c r="N1357" s="4"/>
      <c r="O1357" s="4"/>
      <c r="P1357" s="4"/>
    </row>
    <row r="1358" spans="1:16" x14ac:dyDescent="0.25">
      <c r="A1358" s="4" t="s">
        <v>248</v>
      </c>
      <c r="B1358" s="4" t="s">
        <v>52</v>
      </c>
      <c r="C1358" s="4" t="s">
        <v>52</v>
      </c>
      <c r="D1358" s="4" t="s">
        <v>52</v>
      </c>
      <c r="E1358" s="4" t="s">
        <v>52</v>
      </c>
      <c r="F1358" s="4"/>
      <c r="G1358" s="4"/>
      <c r="H1358" s="3">
        <v>0.33333333333333331</v>
      </c>
      <c r="I1358" s="3">
        <v>0.33333333333333331</v>
      </c>
      <c r="J1358" s="3">
        <v>0.33333333333333331</v>
      </c>
      <c r="K1358" s="4"/>
      <c r="L1358" s="4"/>
      <c r="M1358" s="4"/>
      <c r="N1358" s="4"/>
      <c r="O1358" s="4"/>
      <c r="P1358" s="4"/>
    </row>
    <row r="1359" spans="1:16" x14ac:dyDescent="0.25">
      <c r="A1359" s="4" t="s">
        <v>249</v>
      </c>
      <c r="B1359" s="4" t="s">
        <v>52</v>
      </c>
      <c r="C1359" s="4" t="s">
        <v>52</v>
      </c>
      <c r="D1359" s="4" t="s">
        <v>52</v>
      </c>
      <c r="E1359" s="4" t="s">
        <v>52</v>
      </c>
      <c r="F1359" s="4"/>
      <c r="G1359" s="4"/>
      <c r="H1359" s="3">
        <v>0.375</v>
      </c>
      <c r="I1359" s="3">
        <v>0.375</v>
      </c>
      <c r="J1359" s="3">
        <v>0.375</v>
      </c>
      <c r="K1359" s="4"/>
      <c r="L1359" s="4"/>
      <c r="M1359" s="4"/>
      <c r="N1359" s="4"/>
      <c r="O1359" s="4"/>
      <c r="P1359" s="4"/>
    </row>
    <row r="1360" spans="1:16" x14ac:dyDescent="0.25">
      <c r="A1360" s="4" t="s">
        <v>251</v>
      </c>
      <c r="B1360" s="4" t="s">
        <v>52</v>
      </c>
      <c r="C1360" s="4" t="s">
        <v>52</v>
      </c>
      <c r="D1360" s="4" t="s">
        <v>52</v>
      </c>
      <c r="E1360" s="4" t="s">
        <v>52</v>
      </c>
      <c r="F1360" s="4"/>
      <c r="G1360" s="4"/>
      <c r="H1360" s="3">
        <v>0.375</v>
      </c>
      <c r="I1360" s="3">
        <v>0.375</v>
      </c>
      <c r="J1360" s="3">
        <v>0.375</v>
      </c>
      <c r="K1360" s="4"/>
      <c r="L1360" s="4"/>
      <c r="M1360" s="4"/>
      <c r="N1360" s="4"/>
      <c r="O1360" s="4"/>
      <c r="P1360" s="4"/>
    </row>
    <row r="1361" spans="1:16" x14ac:dyDescent="0.25">
      <c r="A1361" s="4" t="s">
        <v>256</v>
      </c>
      <c r="B1361" s="4" t="s">
        <v>52</v>
      </c>
      <c r="C1361" s="4" t="s">
        <v>52</v>
      </c>
      <c r="D1361" s="4" t="s">
        <v>52</v>
      </c>
      <c r="E1361" s="4" t="s">
        <v>52</v>
      </c>
      <c r="F1361" s="4"/>
      <c r="G1361" s="4"/>
      <c r="H1361" s="3">
        <v>0.375</v>
      </c>
      <c r="I1361" s="3">
        <v>0.375</v>
      </c>
      <c r="J1361" s="3">
        <v>0.375</v>
      </c>
      <c r="K1361" s="4"/>
      <c r="L1361" s="4"/>
      <c r="M1361" s="4"/>
      <c r="N1361" s="4"/>
      <c r="O1361" s="4"/>
      <c r="P1361" s="4"/>
    </row>
    <row r="1362" spans="1:16" x14ac:dyDescent="0.25">
      <c r="A1362" s="4" t="s">
        <v>259</v>
      </c>
      <c r="B1362" s="4" t="s">
        <v>52</v>
      </c>
      <c r="C1362" s="4" t="s">
        <v>52</v>
      </c>
      <c r="D1362" s="4" t="s">
        <v>52</v>
      </c>
      <c r="E1362" s="4" t="s">
        <v>52</v>
      </c>
      <c r="F1362" s="4"/>
      <c r="G1362" s="4"/>
      <c r="H1362" s="3">
        <v>0.375</v>
      </c>
      <c r="I1362" s="3">
        <v>0.375</v>
      </c>
      <c r="J1362" s="3">
        <v>0.375</v>
      </c>
      <c r="K1362" s="4"/>
      <c r="L1362" s="4"/>
      <c r="M1362" s="4"/>
      <c r="N1362" s="4"/>
      <c r="O1362" s="4"/>
      <c r="P1362" s="4"/>
    </row>
    <row r="1363" spans="1:16" x14ac:dyDescent="0.25">
      <c r="A1363" s="4" t="s">
        <v>260</v>
      </c>
      <c r="B1363" s="4"/>
      <c r="C1363" s="4"/>
      <c r="D1363" s="4"/>
      <c r="E1363" s="4"/>
      <c r="F1363" s="4"/>
      <c r="G1363" s="4"/>
      <c r="H1363" s="4"/>
      <c r="I1363" s="4"/>
      <c r="J1363" s="4"/>
      <c r="K1363" s="4"/>
      <c r="L1363" s="4"/>
      <c r="M1363" s="4"/>
      <c r="N1363" s="4"/>
      <c r="O1363" s="4"/>
      <c r="P1363" s="4"/>
    </row>
    <row r="1364" spans="1:16" x14ac:dyDescent="0.25">
      <c r="A1364" s="4" t="s">
        <v>261</v>
      </c>
      <c r="B1364" s="4"/>
      <c r="C1364" s="4"/>
      <c r="D1364" s="4"/>
      <c r="E1364" s="4"/>
      <c r="F1364" s="4"/>
      <c r="G1364" s="4"/>
      <c r="H1364" s="4"/>
      <c r="I1364" s="4"/>
      <c r="J1364" s="4"/>
      <c r="K1364" s="4"/>
      <c r="L1364" s="3">
        <v>0.27777777777777779</v>
      </c>
      <c r="M1364" s="4"/>
      <c r="N1364" s="4"/>
      <c r="O1364" s="4"/>
      <c r="P1364" s="4"/>
    </row>
    <row r="1365" spans="1:16" x14ac:dyDescent="0.25">
      <c r="A1365" s="4" t="s">
        <v>262</v>
      </c>
      <c r="B1365" s="4" t="s">
        <v>52</v>
      </c>
      <c r="C1365" s="4" t="s">
        <v>52</v>
      </c>
      <c r="D1365" s="4" t="s">
        <v>52</v>
      </c>
      <c r="E1365" s="4" t="s">
        <v>52</v>
      </c>
      <c r="F1365" s="4"/>
      <c r="G1365" s="4"/>
      <c r="H1365" s="3">
        <v>0.33333333333333331</v>
      </c>
      <c r="I1365" s="3">
        <v>0.33333333333333331</v>
      </c>
      <c r="J1365" s="3">
        <v>0.33333333333333331</v>
      </c>
      <c r="K1365" s="4"/>
      <c r="L1365" s="4"/>
      <c r="M1365" s="4"/>
      <c r="N1365" s="4"/>
      <c r="O1365" s="4"/>
      <c r="P1365" s="4"/>
    </row>
    <row r="1366" spans="1:16" x14ac:dyDescent="0.25">
      <c r="A1366" s="4" t="s">
        <v>263</v>
      </c>
      <c r="B1366" s="4" t="s">
        <v>52</v>
      </c>
      <c r="C1366" s="4" t="s">
        <v>52</v>
      </c>
      <c r="D1366" s="4" t="s">
        <v>52</v>
      </c>
      <c r="E1366" s="4" t="s">
        <v>52</v>
      </c>
      <c r="F1366" s="4"/>
      <c r="G1366" s="4"/>
      <c r="H1366" s="3">
        <v>0.375</v>
      </c>
      <c r="I1366" s="3">
        <v>0.375</v>
      </c>
      <c r="J1366" s="3">
        <v>0.375</v>
      </c>
      <c r="K1366" s="4"/>
      <c r="L1366" s="4"/>
      <c r="M1366" s="4"/>
      <c r="N1366" s="4"/>
      <c r="O1366" s="4"/>
      <c r="P1366" s="4"/>
    </row>
    <row r="1367" spans="1:16" x14ac:dyDescent="0.25">
      <c r="A1367" s="4" t="s">
        <v>264</v>
      </c>
      <c r="B1367" s="4" t="s">
        <v>52</v>
      </c>
      <c r="C1367" s="4" t="s">
        <v>52</v>
      </c>
      <c r="D1367" s="4" t="s">
        <v>52</v>
      </c>
      <c r="E1367" s="4" t="s">
        <v>52</v>
      </c>
      <c r="F1367" s="4"/>
      <c r="G1367" s="4"/>
      <c r="H1367" s="3">
        <v>0.375</v>
      </c>
      <c r="I1367" s="3">
        <v>0.375</v>
      </c>
      <c r="J1367" s="3">
        <v>0.375</v>
      </c>
      <c r="K1367" s="4"/>
      <c r="L1367" s="4"/>
      <c r="M1367" s="4"/>
      <c r="N1367" s="4"/>
      <c r="O1367" s="4"/>
      <c r="P1367" s="4"/>
    </row>
    <row r="1369" spans="1:16" x14ac:dyDescent="0.25">
      <c r="A1369" s="7" t="s">
        <v>45</v>
      </c>
    </row>
    <row r="1372" spans="1:16" x14ac:dyDescent="0.25">
      <c r="A1372" s="7" t="s">
        <v>46</v>
      </c>
    </row>
    <row r="1373" spans="1:16" x14ac:dyDescent="0.25">
      <c r="A1373" s="7" t="s">
        <v>279</v>
      </c>
      <c r="F1373" s="7" t="s">
        <v>47</v>
      </c>
    </row>
    <row r="1374" spans="1:16" x14ac:dyDescent="0.25">
      <c r="F1374" s="7"/>
    </row>
    <row r="1378" spans="1:16" x14ac:dyDescent="0.25">
      <c r="G1378" s="1" t="s">
        <v>18</v>
      </c>
    </row>
    <row r="1379" spans="1:16" x14ac:dyDescent="0.25">
      <c r="A1379" s="1" t="s">
        <v>1</v>
      </c>
      <c r="B1379" t="s">
        <v>2</v>
      </c>
      <c r="H1379" s="1" t="s">
        <v>19</v>
      </c>
      <c r="I1379" s="1" t="s">
        <v>20</v>
      </c>
      <c r="J1379" s="1" t="s">
        <v>21</v>
      </c>
      <c r="K1379" s="1" t="s">
        <v>22</v>
      </c>
      <c r="L1379" s="1" t="s">
        <v>23</v>
      </c>
      <c r="M1379" s="1" t="s">
        <v>24</v>
      </c>
    </row>
    <row r="1380" spans="1:16" x14ac:dyDescent="0.25">
      <c r="A1380" s="1" t="s">
        <v>3</v>
      </c>
      <c r="B1380" t="s">
        <v>4</v>
      </c>
      <c r="G1380" s="1" t="s">
        <v>220</v>
      </c>
      <c r="H1380" s="3">
        <v>0.54166666666666663</v>
      </c>
      <c r="I1380" s="3">
        <v>0.79166666666666663</v>
      </c>
      <c r="J1380" s="3">
        <v>0.83333333333333337</v>
      </c>
      <c r="K1380" s="3">
        <v>0.91666666666666663</v>
      </c>
      <c r="L1380" s="4"/>
      <c r="M1380" s="4"/>
    </row>
    <row r="1381" spans="1:16" x14ac:dyDescent="0.25">
      <c r="A1381" s="1" t="s">
        <v>5</v>
      </c>
      <c r="B1381" t="s">
        <v>6</v>
      </c>
      <c r="G1381" s="1" t="s">
        <v>221</v>
      </c>
      <c r="H1381" s="3">
        <v>0.5</v>
      </c>
      <c r="I1381" s="3">
        <v>0.79166666666666663</v>
      </c>
      <c r="J1381" s="3">
        <v>0.83333333333333337</v>
      </c>
      <c r="K1381" s="3">
        <v>0.91666666666666663</v>
      </c>
      <c r="L1381" s="4"/>
      <c r="M1381" s="4"/>
    </row>
    <row r="1382" spans="1:16" x14ac:dyDescent="0.25">
      <c r="G1382" s="1" t="s">
        <v>222</v>
      </c>
      <c r="H1382" s="3">
        <v>0.5</v>
      </c>
      <c r="I1382" s="3">
        <v>0.79166666666666663</v>
      </c>
      <c r="J1382" s="3">
        <v>0.83333333333333337</v>
      </c>
      <c r="K1382" s="3">
        <v>0.91666666666666663</v>
      </c>
      <c r="L1382" s="4"/>
      <c r="M1382" s="4"/>
    </row>
    <row r="1383" spans="1:16" x14ac:dyDescent="0.25">
      <c r="A1383" s="1" t="s">
        <v>7</v>
      </c>
      <c r="B1383" t="s">
        <v>282</v>
      </c>
      <c r="G1383" s="1" t="s">
        <v>223</v>
      </c>
      <c r="H1383" s="3">
        <v>0.5</v>
      </c>
      <c r="I1383" s="3">
        <v>0.79166666666666663</v>
      </c>
      <c r="J1383" s="3">
        <v>0.83333333333333337</v>
      </c>
      <c r="K1383" s="3">
        <v>0.91666666666666663</v>
      </c>
      <c r="L1383" s="4"/>
      <c r="M1383" s="4"/>
    </row>
    <row r="1384" spans="1:16" x14ac:dyDescent="0.25">
      <c r="A1384" s="1" t="s">
        <v>9</v>
      </c>
      <c r="B1384" t="s">
        <v>283</v>
      </c>
      <c r="D1384" s="1" t="s">
        <v>11</v>
      </c>
      <c r="E1384" t="s">
        <v>283</v>
      </c>
      <c r="G1384" s="1" t="s">
        <v>224</v>
      </c>
      <c r="H1384" s="3">
        <v>0.5</v>
      </c>
      <c r="I1384" s="3">
        <v>0.79166666666666663</v>
      </c>
      <c r="J1384" s="3">
        <v>0.83333333333333337</v>
      </c>
      <c r="K1384" s="3">
        <v>0.91666666666666663</v>
      </c>
      <c r="L1384" s="4"/>
      <c r="M1384" s="4"/>
    </row>
    <row r="1385" spans="1:16" x14ac:dyDescent="0.25">
      <c r="A1385" s="1" t="s">
        <v>12</v>
      </c>
      <c r="D1385" s="1" t="s">
        <v>13</v>
      </c>
      <c r="E1385" s="2">
        <v>42982</v>
      </c>
      <c r="G1385" s="1" t="s">
        <v>225</v>
      </c>
      <c r="H1385" s="4" t="s">
        <v>25</v>
      </c>
      <c r="I1385" s="4" t="s">
        <v>25</v>
      </c>
      <c r="J1385" s="4" t="s">
        <v>25</v>
      </c>
      <c r="K1385" s="4" t="s">
        <v>25</v>
      </c>
      <c r="L1385" s="4" t="s">
        <v>25</v>
      </c>
      <c r="M1385" s="4" t="s">
        <v>25</v>
      </c>
    </row>
    <row r="1386" spans="1:16" x14ac:dyDescent="0.25">
      <c r="A1386" s="1" t="s">
        <v>14</v>
      </c>
      <c r="B1386" t="s">
        <v>58</v>
      </c>
      <c r="G1386" s="1" t="s">
        <v>226</v>
      </c>
      <c r="H1386" s="4" t="s">
        <v>25</v>
      </c>
      <c r="I1386" s="4" t="s">
        <v>25</v>
      </c>
      <c r="J1386" s="4" t="s">
        <v>25</v>
      </c>
      <c r="K1386" s="4" t="s">
        <v>25</v>
      </c>
      <c r="L1386" s="4" t="s">
        <v>25</v>
      </c>
      <c r="M1386" s="4" t="s">
        <v>25</v>
      </c>
    </row>
    <row r="1387" spans="1:16" x14ac:dyDescent="0.25">
      <c r="A1387" s="1" t="s">
        <v>16</v>
      </c>
      <c r="B1387" t="s">
        <v>281</v>
      </c>
    </row>
    <row r="1390" spans="1:16" x14ac:dyDescent="0.25">
      <c r="A1390" s="5" t="s">
        <v>26</v>
      </c>
      <c r="B1390" s="5" t="s">
        <v>27</v>
      </c>
      <c r="C1390" s="5" t="s">
        <v>28</v>
      </c>
      <c r="D1390" s="5" t="s">
        <v>29</v>
      </c>
      <c r="E1390" s="5" t="s">
        <v>30</v>
      </c>
      <c r="F1390" s="5" t="s">
        <v>31</v>
      </c>
      <c r="G1390" s="5" t="s">
        <v>32</v>
      </c>
      <c r="H1390" s="5" t="s">
        <v>33</v>
      </c>
      <c r="I1390" s="5" t="s">
        <v>34</v>
      </c>
      <c r="J1390" s="5" t="s">
        <v>35</v>
      </c>
      <c r="K1390" s="5" t="s">
        <v>36</v>
      </c>
      <c r="L1390" s="5" t="s">
        <v>37</v>
      </c>
      <c r="M1390" s="5" t="s">
        <v>38</v>
      </c>
      <c r="N1390" s="5" t="s">
        <v>39</v>
      </c>
      <c r="O1390" s="5" t="s">
        <v>40</v>
      </c>
      <c r="P1390" s="5" t="s">
        <v>41</v>
      </c>
    </row>
    <row r="1391" spans="1:16" x14ac:dyDescent="0.25">
      <c r="A1391" s="4"/>
      <c r="B1391" s="4"/>
      <c r="C1391" s="4"/>
      <c r="D1391" s="4"/>
      <c r="E1391" s="4"/>
      <c r="F1391" s="4"/>
      <c r="G1391" s="4"/>
      <c r="H1391" s="6">
        <v>4.375</v>
      </c>
      <c r="I1391" s="6">
        <v>4.375</v>
      </c>
      <c r="J1391" s="6">
        <v>4.375</v>
      </c>
      <c r="K1391" s="3">
        <v>0</v>
      </c>
      <c r="L1391" s="3">
        <v>0.55555555555555558</v>
      </c>
      <c r="M1391" s="3">
        <v>0.55555555555555558</v>
      </c>
      <c r="N1391" s="3">
        <v>0</v>
      </c>
      <c r="O1391" s="3">
        <v>0</v>
      </c>
      <c r="P1391" s="3">
        <v>0</v>
      </c>
    </row>
    <row r="1392" spans="1:16" x14ac:dyDescent="0.25">
      <c r="A1392" s="4" t="s">
        <v>227</v>
      </c>
      <c r="B1392" s="4"/>
      <c r="C1392" s="4"/>
      <c r="D1392" s="4"/>
      <c r="E1392" s="4"/>
      <c r="F1392" s="4"/>
      <c r="G1392" s="4"/>
      <c r="H1392" s="4"/>
      <c r="I1392" s="4"/>
      <c r="J1392" s="4"/>
      <c r="K1392" s="4"/>
      <c r="L1392" s="4"/>
      <c r="M1392" s="4"/>
      <c r="N1392" s="4"/>
      <c r="O1392" s="4"/>
      <c r="P1392" s="4"/>
    </row>
    <row r="1393" spans="1:16" x14ac:dyDescent="0.25">
      <c r="A1393" s="4" t="s">
        <v>228</v>
      </c>
      <c r="B1393" s="4"/>
      <c r="C1393" s="4"/>
      <c r="D1393" s="4"/>
      <c r="E1393" s="4"/>
      <c r="F1393" s="4"/>
      <c r="G1393" s="4"/>
      <c r="H1393" s="4"/>
      <c r="I1393" s="4"/>
      <c r="J1393" s="4"/>
      <c r="K1393" s="4"/>
      <c r="L1393" s="4"/>
      <c r="M1393" s="4"/>
      <c r="N1393" s="4"/>
      <c r="O1393" s="4"/>
      <c r="P1393" s="4"/>
    </row>
    <row r="1394" spans="1:16" x14ac:dyDescent="0.25">
      <c r="A1394" s="4" t="s">
        <v>229</v>
      </c>
      <c r="B1394" s="4"/>
      <c r="C1394" s="4"/>
      <c r="D1394" s="4"/>
      <c r="E1394" s="4"/>
      <c r="F1394" s="4"/>
      <c r="G1394" s="4"/>
      <c r="H1394" s="4"/>
      <c r="I1394" s="4"/>
      <c r="J1394" s="4"/>
      <c r="K1394" s="4"/>
      <c r="L1394" s="4"/>
      <c r="M1394" s="4"/>
      <c r="N1394" s="4"/>
      <c r="O1394" s="4"/>
      <c r="P1394" s="4"/>
    </row>
    <row r="1395" spans="1:16" x14ac:dyDescent="0.25">
      <c r="A1395" s="4" t="s">
        <v>230</v>
      </c>
      <c r="B1395" s="4"/>
      <c r="C1395" s="4"/>
      <c r="D1395" s="4"/>
      <c r="E1395" s="4"/>
      <c r="F1395" s="4"/>
      <c r="G1395" s="4"/>
      <c r="H1395" s="4"/>
      <c r="I1395" s="4"/>
      <c r="J1395" s="4"/>
      <c r="K1395" s="4"/>
      <c r="L1395" s="4"/>
      <c r="M1395" s="4"/>
      <c r="N1395" s="4"/>
      <c r="O1395" s="4"/>
      <c r="P1395" s="4"/>
    </row>
    <row r="1396" spans="1:16" x14ac:dyDescent="0.25">
      <c r="A1396" s="4" t="s">
        <v>231</v>
      </c>
      <c r="B1396" s="4"/>
      <c r="C1396" s="4"/>
      <c r="D1396" s="4"/>
      <c r="E1396" s="4"/>
      <c r="F1396" s="4"/>
      <c r="G1396" s="4"/>
      <c r="H1396" s="4"/>
      <c r="I1396" s="4"/>
      <c r="J1396" s="4"/>
      <c r="K1396" s="4"/>
      <c r="L1396" s="4"/>
      <c r="M1396" s="4"/>
      <c r="N1396" s="4"/>
      <c r="O1396" s="4"/>
      <c r="P1396" s="4"/>
    </row>
    <row r="1397" spans="1:16" x14ac:dyDescent="0.25">
      <c r="A1397" s="4" t="s">
        <v>232</v>
      </c>
      <c r="B1397" s="4"/>
      <c r="C1397" s="4"/>
      <c r="D1397" s="4"/>
      <c r="E1397" s="4"/>
      <c r="F1397" s="4"/>
      <c r="G1397" s="4"/>
      <c r="H1397" s="4"/>
      <c r="I1397" s="4"/>
      <c r="J1397" s="4"/>
      <c r="K1397" s="4"/>
      <c r="L1397" s="4"/>
      <c r="M1397" s="4"/>
      <c r="N1397" s="4"/>
      <c r="O1397" s="4"/>
      <c r="P1397" s="4"/>
    </row>
    <row r="1398" spans="1:16" x14ac:dyDescent="0.25">
      <c r="A1398" s="4" t="s">
        <v>233</v>
      </c>
      <c r="B1398" s="4"/>
      <c r="C1398" s="4"/>
      <c r="D1398" s="4"/>
      <c r="E1398" s="4"/>
      <c r="F1398" s="4"/>
      <c r="G1398" s="4"/>
      <c r="H1398" s="4"/>
      <c r="I1398" s="4"/>
      <c r="J1398" s="4"/>
      <c r="K1398" s="4"/>
      <c r="L1398" s="4"/>
      <c r="M1398" s="3">
        <v>0.27777777777777779</v>
      </c>
      <c r="N1398" s="4"/>
      <c r="O1398" s="4"/>
      <c r="P1398" s="4"/>
    </row>
    <row r="1399" spans="1:16" x14ac:dyDescent="0.25">
      <c r="A1399" s="4" t="s">
        <v>234</v>
      </c>
      <c r="B1399" s="4"/>
      <c r="C1399" s="4"/>
      <c r="D1399" s="4"/>
      <c r="E1399" s="4"/>
      <c r="F1399" s="4"/>
      <c r="G1399" s="4"/>
      <c r="H1399" s="4"/>
      <c r="I1399" s="4"/>
      <c r="J1399" s="4"/>
      <c r="K1399" s="4"/>
      <c r="L1399" s="4"/>
      <c r="M1399" s="4"/>
      <c r="N1399" s="4"/>
      <c r="O1399" s="4"/>
      <c r="P1399" s="4"/>
    </row>
    <row r="1400" spans="1:16" x14ac:dyDescent="0.25">
      <c r="A1400" s="4" t="s">
        <v>235</v>
      </c>
      <c r="B1400" s="4"/>
      <c r="C1400" s="4"/>
      <c r="D1400" s="4"/>
      <c r="E1400" s="4"/>
      <c r="F1400" s="4"/>
      <c r="G1400" s="4"/>
      <c r="H1400" s="4"/>
      <c r="I1400" s="4"/>
      <c r="J1400" s="4"/>
      <c r="K1400" s="4"/>
      <c r="L1400" s="4"/>
      <c r="M1400" s="4"/>
      <c r="N1400" s="4"/>
      <c r="O1400" s="4"/>
      <c r="P1400" s="4"/>
    </row>
    <row r="1401" spans="1:16" x14ac:dyDescent="0.25">
      <c r="A1401" s="4" t="s">
        <v>236</v>
      </c>
      <c r="B1401" s="4"/>
      <c r="C1401" s="4"/>
      <c r="D1401" s="4"/>
      <c r="E1401" s="4"/>
      <c r="F1401" s="4"/>
      <c r="G1401" s="4"/>
      <c r="H1401" s="4"/>
      <c r="I1401" s="4"/>
      <c r="J1401" s="4"/>
      <c r="K1401" s="4"/>
      <c r="L1401" s="4"/>
      <c r="M1401" s="4"/>
      <c r="N1401" s="4"/>
      <c r="O1401" s="4"/>
      <c r="P1401" s="4"/>
    </row>
    <row r="1402" spans="1:16" x14ac:dyDescent="0.25">
      <c r="A1402" s="4" t="s">
        <v>237</v>
      </c>
      <c r="B1402" s="4"/>
      <c r="C1402" s="4"/>
      <c r="D1402" s="4"/>
      <c r="E1402" s="4"/>
      <c r="F1402" s="4"/>
      <c r="G1402" s="4"/>
      <c r="H1402" s="4"/>
      <c r="I1402" s="4"/>
      <c r="J1402" s="4"/>
      <c r="K1402" s="4"/>
      <c r="L1402" s="4"/>
      <c r="M1402" s="4"/>
      <c r="N1402" s="4"/>
      <c r="O1402" s="4"/>
      <c r="P1402" s="4"/>
    </row>
    <row r="1403" spans="1:16" x14ac:dyDescent="0.25">
      <c r="A1403" s="4" t="s">
        <v>238</v>
      </c>
      <c r="B1403" s="4"/>
      <c r="C1403" s="4"/>
      <c r="D1403" s="4"/>
      <c r="E1403" s="4"/>
      <c r="F1403" s="4"/>
      <c r="G1403" s="4"/>
      <c r="H1403" s="4"/>
      <c r="I1403" s="4"/>
      <c r="J1403" s="4"/>
      <c r="K1403" s="4"/>
      <c r="L1403" s="4"/>
      <c r="M1403" s="4"/>
      <c r="N1403" s="4"/>
      <c r="O1403" s="4"/>
      <c r="P1403" s="4"/>
    </row>
    <row r="1404" spans="1:16" x14ac:dyDescent="0.25">
      <c r="A1404" s="4" t="s">
        <v>239</v>
      </c>
      <c r="B1404" s="4"/>
      <c r="C1404" s="4"/>
      <c r="D1404" s="4"/>
      <c r="E1404" s="4"/>
      <c r="F1404" s="4"/>
      <c r="G1404" s="4"/>
      <c r="H1404" s="4"/>
      <c r="I1404" s="4"/>
      <c r="J1404" s="4"/>
      <c r="K1404" s="4"/>
      <c r="L1404" s="4"/>
      <c r="M1404" s="4"/>
      <c r="N1404" s="4"/>
      <c r="O1404" s="4"/>
      <c r="P1404" s="4"/>
    </row>
    <row r="1405" spans="1:16" x14ac:dyDescent="0.25">
      <c r="A1405" s="4" t="s">
        <v>240</v>
      </c>
      <c r="B1405" s="4"/>
      <c r="C1405" s="4"/>
      <c r="D1405" s="4"/>
      <c r="E1405" s="4"/>
      <c r="F1405" s="4"/>
      <c r="G1405" s="4"/>
      <c r="H1405" s="4"/>
      <c r="I1405" s="4"/>
      <c r="J1405" s="4"/>
      <c r="K1405" s="4"/>
      <c r="L1405" s="4"/>
      <c r="M1405" s="3">
        <v>0.27777777777777779</v>
      </c>
      <c r="N1405" s="4"/>
      <c r="O1405" s="4"/>
      <c r="P1405" s="4"/>
    </row>
    <row r="1406" spans="1:16" x14ac:dyDescent="0.25">
      <c r="A1406" s="4" t="s">
        <v>241</v>
      </c>
      <c r="B1406" s="4" t="s">
        <v>52</v>
      </c>
      <c r="C1406" s="4" t="s">
        <v>52</v>
      </c>
      <c r="D1406" s="4" t="s">
        <v>52</v>
      </c>
      <c r="E1406" s="4" t="s">
        <v>52</v>
      </c>
      <c r="F1406" s="4"/>
      <c r="G1406" s="4"/>
      <c r="H1406" s="3">
        <v>0.33333333333333331</v>
      </c>
      <c r="I1406" s="3">
        <v>0.33333333333333331</v>
      </c>
      <c r="J1406" s="3">
        <v>0.33333333333333331</v>
      </c>
      <c r="K1406" s="4"/>
      <c r="L1406" s="4"/>
      <c r="M1406" s="4"/>
      <c r="N1406" s="4"/>
      <c r="O1406" s="4"/>
      <c r="P1406" s="4"/>
    </row>
    <row r="1407" spans="1:16" x14ac:dyDescent="0.25">
      <c r="A1407" s="4" t="s">
        <v>242</v>
      </c>
      <c r="B1407" s="4" t="s">
        <v>52</v>
      </c>
      <c r="C1407" s="4" t="s">
        <v>52</v>
      </c>
      <c r="D1407" s="4" t="s">
        <v>52</v>
      </c>
      <c r="E1407" s="4" t="s">
        <v>52</v>
      </c>
      <c r="F1407" s="4"/>
      <c r="G1407" s="4"/>
      <c r="H1407" s="3">
        <v>0.375</v>
      </c>
      <c r="I1407" s="3">
        <v>0.375</v>
      </c>
      <c r="J1407" s="3">
        <v>0.375</v>
      </c>
      <c r="K1407" s="4"/>
      <c r="L1407" s="4"/>
      <c r="M1407" s="4"/>
      <c r="N1407" s="4"/>
      <c r="O1407" s="4"/>
      <c r="P1407" s="4"/>
    </row>
    <row r="1408" spans="1:16" x14ac:dyDescent="0.25">
      <c r="A1408" s="4" t="s">
        <v>243</v>
      </c>
      <c r="B1408" s="4" t="s">
        <v>52</v>
      </c>
      <c r="C1408" s="4" t="s">
        <v>52</v>
      </c>
      <c r="D1408" s="4" t="s">
        <v>52</v>
      </c>
      <c r="E1408" s="4" t="s">
        <v>52</v>
      </c>
      <c r="F1408" s="4"/>
      <c r="G1408" s="4"/>
      <c r="H1408" s="3">
        <v>0.375</v>
      </c>
      <c r="I1408" s="3">
        <v>0.375</v>
      </c>
      <c r="J1408" s="3">
        <v>0.375</v>
      </c>
      <c r="K1408" s="4"/>
      <c r="L1408" s="4"/>
      <c r="M1408" s="4"/>
      <c r="N1408" s="4"/>
      <c r="O1408" s="4"/>
      <c r="P1408" s="4"/>
    </row>
    <row r="1409" spans="1:16" x14ac:dyDescent="0.25">
      <c r="A1409" s="4" t="s">
        <v>244</v>
      </c>
      <c r="B1409" s="4" t="s">
        <v>265</v>
      </c>
      <c r="C1409" s="4" t="s">
        <v>265</v>
      </c>
      <c r="D1409" s="4" t="s">
        <v>265</v>
      </c>
      <c r="E1409" s="4" t="s">
        <v>265</v>
      </c>
      <c r="F1409" s="4" t="s">
        <v>265</v>
      </c>
      <c r="G1409" s="4" t="s">
        <v>265</v>
      </c>
      <c r="H1409" s="4"/>
      <c r="I1409" s="4"/>
      <c r="J1409" s="4"/>
      <c r="K1409" s="4"/>
      <c r="L1409" s="4"/>
      <c r="M1409" s="4"/>
      <c r="N1409" s="4"/>
      <c r="O1409" s="4"/>
      <c r="P1409" s="4"/>
    </row>
    <row r="1410" spans="1:16" x14ac:dyDescent="0.25">
      <c r="A1410" s="4" t="s">
        <v>245</v>
      </c>
      <c r="B1410" s="4" t="s">
        <v>52</v>
      </c>
      <c r="C1410" s="4" t="s">
        <v>52</v>
      </c>
      <c r="D1410" s="4" t="s">
        <v>52</v>
      </c>
      <c r="E1410" s="4" t="s">
        <v>52</v>
      </c>
      <c r="F1410" s="4"/>
      <c r="G1410" s="4"/>
      <c r="H1410" s="3">
        <v>0.375</v>
      </c>
      <c r="I1410" s="3">
        <v>0.375</v>
      </c>
      <c r="J1410" s="3">
        <v>0.375</v>
      </c>
      <c r="K1410" s="4"/>
      <c r="L1410" s="4"/>
      <c r="M1410" s="4"/>
      <c r="N1410" s="4"/>
      <c r="O1410" s="4"/>
      <c r="P1410" s="4"/>
    </row>
    <row r="1411" spans="1:16" x14ac:dyDescent="0.25">
      <c r="A1411" s="4" t="s">
        <v>246</v>
      </c>
      <c r="B1411" s="4"/>
      <c r="C1411" s="4"/>
      <c r="D1411" s="4"/>
      <c r="E1411" s="4"/>
      <c r="F1411" s="4"/>
      <c r="G1411" s="4"/>
      <c r="H1411" s="4"/>
      <c r="I1411" s="4"/>
      <c r="J1411" s="4"/>
      <c r="K1411" s="4"/>
      <c r="L1411" s="4"/>
      <c r="M1411" s="4"/>
      <c r="N1411" s="4"/>
      <c r="O1411" s="4"/>
      <c r="P1411" s="4"/>
    </row>
    <row r="1412" spans="1:16" x14ac:dyDescent="0.25">
      <c r="A1412" s="4" t="s">
        <v>247</v>
      </c>
      <c r="B1412" s="4"/>
      <c r="C1412" s="4"/>
      <c r="D1412" s="4"/>
      <c r="E1412" s="4"/>
      <c r="F1412" s="4"/>
      <c r="G1412" s="4"/>
      <c r="H1412" s="4"/>
      <c r="I1412" s="4"/>
      <c r="J1412" s="4"/>
      <c r="K1412" s="4"/>
      <c r="L1412" s="3">
        <v>0.27777777777777779</v>
      </c>
      <c r="M1412" s="4"/>
      <c r="N1412" s="4"/>
      <c r="O1412" s="4"/>
      <c r="P1412" s="4"/>
    </row>
    <row r="1413" spans="1:16" x14ac:dyDescent="0.25">
      <c r="A1413" s="4" t="s">
        <v>248</v>
      </c>
      <c r="B1413" s="4" t="s">
        <v>52</v>
      </c>
      <c r="C1413" s="4" t="s">
        <v>52</v>
      </c>
      <c r="D1413" s="4" t="s">
        <v>52</v>
      </c>
      <c r="E1413" s="4" t="s">
        <v>52</v>
      </c>
      <c r="F1413" s="4"/>
      <c r="G1413" s="4"/>
      <c r="H1413" s="3">
        <v>0.33333333333333331</v>
      </c>
      <c r="I1413" s="3">
        <v>0.33333333333333331</v>
      </c>
      <c r="J1413" s="3">
        <v>0.33333333333333331</v>
      </c>
      <c r="K1413" s="4"/>
      <c r="L1413" s="4"/>
      <c r="M1413" s="4"/>
      <c r="N1413" s="4"/>
      <c r="O1413" s="4"/>
      <c r="P1413" s="4"/>
    </row>
    <row r="1414" spans="1:16" x14ac:dyDescent="0.25">
      <c r="A1414" s="4" t="s">
        <v>249</v>
      </c>
      <c r="B1414" s="4" t="s">
        <v>52</v>
      </c>
      <c r="C1414" s="4" t="s">
        <v>52</v>
      </c>
      <c r="D1414" s="4" t="s">
        <v>52</v>
      </c>
      <c r="E1414" s="4" t="s">
        <v>52</v>
      </c>
      <c r="F1414" s="4"/>
      <c r="G1414" s="4"/>
      <c r="H1414" s="3">
        <v>0.375</v>
      </c>
      <c r="I1414" s="3">
        <v>0.375</v>
      </c>
      <c r="J1414" s="3">
        <v>0.375</v>
      </c>
      <c r="K1414" s="4"/>
      <c r="L1414" s="4"/>
      <c r="M1414" s="4"/>
      <c r="N1414" s="4"/>
      <c r="O1414" s="4"/>
      <c r="P1414" s="4"/>
    </row>
    <row r="1415" spans="1:16" x14ac:dyDescent="0.25">
      <c r="A1415" s="4" t="s">
        <v>251</v>
      </c>
      <c r="B1415" s="4" t="s">
        <v>52</v>
      </c>
      <c r="C1415" s="4" t="s">
        <v>52</v>
      </c>
      <c r="D1415" s="4" t="s">
        <v>52</v>
      </c>
      <c r="E1415" s="4" t="s">
        <v>52</v>
      </c>
      <c r="F1415" s="4"/>
      <c r="G1415" s="4"/>
      <c r="H1415" s="3">
        <v>0.375</v>
      </c>
      <c r="I1415" s="3">
        <v>0.375</v>
      </c>
      <c r="J1415" s="3">
        <v>0.375</v>
      </c>
      <c r="K1415" s="4"/>
      <c r="L1415" s="4"/>
      <c r="M1415" s="4"/>
      <c r="N1415" s="4"/>
      <c r="O1415" s="4"/>
      <c r="P1415" s="4"/>
    </row>
    <row r="1416" spans="1:16" x14ac:dyDescent="0.25">
      <c r="A1416" s="4" t="s">
        <v>256</v>
      </c>
      <c r="B1416" s="4" t="s">
        <v>52</v>
      </c>
      <c r="C1416" s="4" t="s">
        <v>52</v>
      </c>
      <c r="D1416" s="4" t="s">
        <v>52</v>
      </c>
      <c r="E1416" s="4" t="s">
        <v>52</v>
      </c>
      <c r="F1416" s="4"/>
      <c r="G1416" s="4"/>
      <c r="H1416" s="3">
        <v>0.375</v>
      </c>
      <c r="I1416" s="3">
        <v>0.375</v>
      </c>
      <c r="J1416" s="3">
        <v>0.375</v>
      </c>
      <c r="K1416" s="4"/>
      <c r="L1416" s="4"/>
      <c r="M1416" s="4"/>
      <c r="N1416" s="4"/>
      <c r="O1416" s="4"/>
      <c r="P1416" s="4"/>
    </row>
    <row r="1417" spans="1:16" x14ac:dyDescent="0.25">
      <c r="A1417" s="4" t="s">
        <v>259</v>
      </c>
      <c r="B1417" s="4" t="s">
        <v>52</v>
      </c>
      <c r="C1417" s="4" t="s">
        <v>52</v>
      </c>
      <c r="D1417" s="4" t="s">
        <v>52</v>
      </c>
      <c r="E1417" s="4" t="s">
        <v>52</v>
      </c>
      <c r="F1417" s="4"/>
      <c r="G1417" s="4"/>
      <c r="H1417" s="3">
        <v>0.375</v>
      </c>
      <c r="I1417" s="3">
        <v>0.375</v>
      </c>
      <c r="J1417" s="3">
        <v>0.375</v>
      </c>
      <c r="K1417" s="4"/>
      <c r="L1417" s="4"/>
      <c r="M1417" s="4"/>
      <c r="N1417" s="4"/>
      <c r="O1417" s="4"/>
      <c r="P1417" s="4"/>
    </row>
    <row r="1418" spans="1:16" x14ac:dyDescent="0.25">
      <c r="A1418" s="4" t="s">
        <v>260</v>
      </c>
      <c r="B1418" s="4"/>
      <c r="C1418" s="4"/>
      <c r="D1418" s="4"/>
      <c r="E1418" s="4"/>
      <c r="F1418" s="4"/>
      <c r="G1418" s="4"/>
      <c r="H1418" s="4"/>
      <c r="I1418" s="4"/>
      <c r="J1418" s="4"/>
      <c r="K1418" s="4"/>
      <c r="L1418" s="4"/>
      <c r="M1418" s="4"/>
      <c r="N1418" s="4"/>
      <c r="O1418" s="4"/>
      <c r="P1418" s="4"/>
    </row>
    <row r="1419" spans="1:16" x14ac:dyDescent="0.25">
      <c r="A1419" s="4" t="s">
        <v>261</v>
      </c>
      <c r="B1419" s="4"/>
      <c r="C1419" s="4"/>
      <c r="D1419" s="4"/>
      <c r="E1419" s="4"/>
      <c r="F1419" s="4"/>
      <c r="G1419" s="4"/>
      <c r="H1419" s="4"/>
      <c r="I1419" s="4"/>
      <c r="J1419" s="4"/>
      <c r="K1419" s="4"/>
      <c r="L1419" s="3">
        <v>0.27777777777777779</v>
      </c>
      <c r="M1419" s="4"/>
      <c r="N1419" s="4"/>
      <c r="O1419" s="4"/>
      <c r="P1419" s="4"/>
    </row>
    <row r="1420" spans="1:16" x14ac:dyDescent="0.25">
      <c r="A1420" s="4" t="s">
        <v>262</v>
      </c>
      <c r="B1420" s="4" t="s">
        <v>52</v>
      </c>
      <c r="C1420" s="4" t="s">
        <v>52</v>
      </c>
      <c r="D1420" s="4" t="s">
        <v>52</v>
      </c>
      <c r="E1420" s="4" t="s">
        <v>52</v>
      </c>
      <c r="F1420" s="4"/>
      <c r="G1420" s="4"/>
      <c r="H1420" s="3">
        <v>0.33333333333333331</v>
      </c>
      <c r="I1420" s="3">
        <v>0.33333333333333331</v>
      </c>
      <c r="J1420" s="3">
        <v>0.33333333333333331</v>
      </c>
      <c r="K1420" s="4"/>
      <c r="L1420" s="4"/>
      <c r="M1420" s="4"/>
      <c r="N1420" s="4"/>
      <c r="O1420" s="4"/>
      <c r="P1420" s="4"/>
    </row>
    <row r="1421" spans="1:16" x14ac:dyDescent="0.25">
      <c r="A1421" s="4" t="s">
        <v>263</v>
      </c>
      <c r="B1421" s="4" t="s">
        <v>52</v>
      </c>
      <c r="C1421" s="4" t="s">
        <v>52</v>
      </c>
      <c r="D1421" s="4" t="s">
        <v>52</v>
      </c>
      <c r="E1421" s="4" t="s">
        <v>52</v>
      </c>
      <c r="F1421" s="4"/>
      <c r="G1421" s="4"/>
      <c r="H1421" s="3">
        <v>0.375</v>
      </c>
      <c r="I1421" s="3">
        <v>0.375</v>
      </c>
      <c r="J1421" s="3">
        <v>0.375</v>
      </c>
      <c r="K1421" s="4"/>
      <c r="L1421" s="4"/>
      <c r="M1421" s="4"/>
      <c r="N1421" s="4"/>
      <c r="O1421" s="4"/>
      <c r="P1421" s="4"/>
    </row>
    <row r="1422" spans="1:16" x14ac:dyDescent="0.25">
      <c r="A1422" s="4" t="s">
        <v>264</v>
      </c>
      <c r="B1422" s="4" t="s">
        <v>52</v>
      </c>
      <c r="C1422" s="4" t="s">
        <v>52</v>
      </c>
      <c r="D1422" s="4" t="s">
        <v>52</v>
      </c>
      <c r="E1422" s="4" t="s">
        <v>52</v>
      </c>
      <c r="F1422" s="4"/>
      <c r="G1422" s="4"/>
      <c r="H1422" s="3">
        <v>0.375</v>
      </c>
      <c r="I1422" s="3">
        <v>0.375</v>
      </c>
      <c r="J1422" s="3">
        <v>0.375</v>
      </c>
      <c r="K1422" s="4"/>
      <c r="L1422" s="4"/>
      <c r="M1422" s="4"/>
      <c r="N1422" s="4"/>
      <c r="O1422" s="4"/>
      <c r="P1422" s="4"/>
    </row>
    <row r="1424" spans="1:16" x14ac:dyDescent="0.25">
      <c r="A1424" s="7" t="s">
        <v>45</v>
      </c>
    </row>
    <row r="1427" spans="1:13" x14ac:dyDescent="0.25">
      <c r="A1427" s="7" t="s">
        <v>46</v>
      </c>
    </row>
    <row r="1428" spans="1:13" x14ac:dyDescent="0.25">
      <c r="A1428" s="7" t="s">
        <v>282</v>
      </c>
      <c r="F1428" s="7" t="s">
        <v>47</v>
      </c>
    </row>
    <row r="1429" spans="1:13" x14ac:dyDescent="0.25">
      <c r="F1429" s="7"/>
    </row>
    <row r="1433" spans="1:13" x14ac:dyDescent="0.25">
      <c r="G1433" s="1" t="s">
        <v>18</v>
      </c>
    </row>
    <row r="1434" spans="1:13" x14ac:dyDescent="0.25">
      <c r="A1434" s="1" t="s">
        <v>1</v>
      </c>
      <c r="B1434" t="s">
        <v>2</v>
      </c>
      <c r="H1434" s="1" t="s">
        <v>19</v>
      </c>
      <c r="I1434" s="1" t="s">
        <v>20</v>
      </c>
      <c r="J1434" s="1" t="s">
        <v>21</v>
      </c>
      <c r="K1434" s="1" t="s">
        <v>22</v>
      </c>
      <c r="L1434" s="1" t="s">
        <v>23</v>
      </c>
      <c r="M1434" s="1" t="s">
        <v>24</v>
      </c>
    </row>
    <row r="1435" spans="1:13" x14ac:dyDescent="0.25">
      <c r="A1435" s="1" t="s">
        <v>3</v>
      </c>
      <c r="B1435" t="s">
        <v>4</v>
      </c>
      <c r="G1435" s="1" t="s">
        <v>220</v>
      </c>
      <c r="H1435" s="3">
        <v>0.33333333333333331</v>
      </c>
      <c r="I1435" s="3">
        <v>0.5</v>
      </c>
      <c r="J1435" s="3">
        <v>0.54166666666666663</v>
      </c>
      <c r="K1435" s="3">
        <v>0.70833333333333337</v>
      </c>
      <c r="L1435" s="4"/>
      <c r="M1435" s="4"/>
    </row>
    <row r="1436" spans="1:13" x14ac:dyDescent="0.25">
      <c r="A1436" s="1" t="s">
        <v>5</v>
      </c>
      <c r="B1436" t="s">
        <v>6</v>
      </c>
      <c r="G1436" s="1" t="s">
        <v>221</v>
      </c>
      <c r="H1436" s="3">
        <v>0.33333333333333331</v>
      </c>
      <c r="I1436" s="3">
        <v>0.5</v>
      </c>
      <c r="J1436" s="3">
        <v>0.54166666666666663</v>
      </c>
      <c r="K1436" s="3">
        <v>0.75</v>
      </c>
      <c r="L1436" s="4"/>
      <c r="M1436" s="4"/>
    </row>
    <row r="1437" spans="1:13" x14ac:dyDescent="0.25">
      <c r="G1437" s="1" t="s">
        <v>222</v>
      </c>
      <c r="H1437" s="3">
        <v>0.33333333333333331</v>
      </c>
      <c r="I1437" s="3">
        <v>0.5</v>
      </c>
      <c r="J1437" s="3">
        <v>0.54166666666666663</v>
      </c>
      <c r="K1437" s="3">
        <v>0.75</v>
      </c>
      <c r="L1437" s="4"/>
      <c r="M1437" s="4"/>
    </row>
    <row r="1438" spans="1:13" x14ac:dyDescent="0.25">
      <c r="A1438" s="1" t="s">
        <v>7</v>
      </c>
      <c r="B1438" t="s">
        <v>100</v>
      </c>
      <c r="G1438" s="1" t="s">
        <v>223</v>
      </c>
      <c r="H1438" s="3">
        <v>0.33333333333333331</v>
      </c>
      <c r="I1438" s="3">
        <v>0.5</v>
      </c>
      <c r="J1438" s="3">
        <v>0.54166666666666663</v>
      </c>
      <c r="K1438" s="3">
        <v>0.75</v>
      </c>
      <c r="L1438" s="4"/>
      <c r="M1438" s="4"/>
    </row>
    <row r="1439" spans="1:13" x14ac:dyDescent="0.25">
      <c r="A1439" s="1" t="s">
        <v>9</v>
      </c>
      <c r="B1439" t="s">
        <v>101</v>
      </c>
      <c r="D1439" s="1" t="s">
        <v>11</v>
      </c>
      <c r="E1439" t="s">
        <v>101</v>
      </c>
      <c r="G1439" s="1" t="s">
        <v>224</v>
      </c>
      <c r="H1439" s="3">
        <v>0.33333333333333331</v>
      </c>
      <c r="I1439" s="3">
        <v>0.5</v>
      </c>
      <c r="J1439" s="3">
        <v>0.54166666666666663</v>
      </c>
      <c r="K1439" s="3">
        <v>0.75</v>
      </c>
      <c r="L1439" s="4"/>
      <c r="M1439" s="4"/>
    </row>
    <row r="1440" spans="1:13" x14ac:dyDescent="0.25">
      <c r="A1440" s="1" t="s">
        <v>12</v>
      </c>
      <c r="D1440" s="1" t="s">
        <v>13</v>
      </c>
      <c r="E1440" s="2">
        <v>42278</v>
      </c>
      <c r="G1440" s="1" t="s">
        <v>225</v>
      </c>
      <c r="H1440" s="4" t="s">
        <v>25</v>
      </c>
      <c r="I1440" s="4" t="s">
        <v>25</v>
      </c>
      <c r="J1440" s="4" t="s">
        <v>25</v>
      </c>
      <c r="K1440" s="4" t="s">
        <v>25</v>
      </c>
      <c r="L1440" s="4" t="s">
        <v>25</v>
      </c>
      <c r="M1440" s="4" t="s">
        <v>25</v>
      </c>
    </row>
    <row r="1441" spans="1:16" x14ac:dyDescent="0.25">
      <c r="A1441" s="1" t="s">
        <v>14</v>
      </c>
      <c r="B1441" t="s">
        <v>15</v>
      </c>
      <c r="G1441" s="1" t="s">
        <v>226</v>
      </c>
      <c r="H1441" s="4" t="s">
        <v>25</v>
      </c>
      <c r="I1441" s="4" t="s">
        <v>25</v>
      </c>
      <c r="J1441" s="4" t="s">
        <v>25</v>
      </c>
      <c r="K1441" s="4" t="s">
        <v>25</v>
      </c>
      <c r="L1441" s="4" t="s">
        <v>25</v>
      </c>
      <c r="M1441" s="4" t="s">
        <v>25</v>
      </c>
    </row>
    <row r="1442" spans="1:16" x14ac:dyDescent="0.25">
      <c r="A1442" s="1" t="s">
        <v>16</v>
      </c>
      <c r="B1442" t="s">
        <v>17</v>
      </c>
    </row>
    <row r="1445" spans="1:16" x14ac:dyDescent="0.25">
      <c r="A1445" s="5" t="s">
        <v>26</v>
      </c>
      <c r="B1445" s="5" t="s">
        <v>27</v>
      </c>
      <c r="C1445" s="5" t="s">
        <v>28</v>
      </c>
      <c r="D1445" s="5" t="s">
        <v>29</v>
      </c>
      <c r="E1445" s="5" t="s">
        <v>30</v>
      </c>
      <c r="F1445" s="5" t="s">
        <v>31</v>
      </c>
      <c r="G1445" s="5" t="s">
        <v>32</v>
      </c>
      <c r="H1445" s="5" t="s">
        <v>33</v>
      </c>
      <c r="I1445" s="5" t="s">
        <v>34</v>
      </c>
      <c r="J1445" s="5" t="s">
        <v>35</v>
      </c>
      <c r="K1445" s="5" t="s">
        <v>36</v>
      </c>
      <c r="L1445" s="5" t="s">
        <v>37</v>
      </c>
      <c r="M1445" s="5" t="s">
        <v>38</v>
      </c>
      <c r="N1445" s="5" t="s">
        <v>39</v>
      </c>
      <c r="O1445" s="5" t="s">
        <v>40</v>
      </c>
      <c r="P1445" s="5" t="s">
        <v>41</v>
      </c>
    </row>
    <row r="1446" spans="1:16" x14ac:dyDescent="0.25">
      <c r="A1446" s="4"/>
      <c r="B1446" s="4"/>
      <c r="C1446" s="4"/>
      <c r="D1446" s="4"/>
      <c r="E1446" s="4"/>
      <c r="F1446" s="4"/>
      <c r="G1446" s="4"/>
      <c r="H1446" s="6">
        <v>8.0416666666666661</v>
      </c>
      <c r="I1446" s="6">
        <v>8.0416666666666661</v>
      </c>
      <c r="J1446" s="6">
        <v>8.0416666666666661</v>
      </c>
      <c r="K1446" s="3">
        <v>0</v>
      </c>
      <c r="L1446" s="3">
        <v>0</v>
      </c>
      <c r="M1446" s="3">
        <v>0</v>
      </c>
      <c r="N1446" s="3">
        <v>0</v>
      </c>
      <c r="O1446" s="3">
        <v>0</v>
      </c>
      <c r="P1446" s="3">
        <v>0</v>
      </c>
    </row>
    <row r="1447" spans="1:16" x14ac:dyDescent="0.25">
      <c r="A1447" s="4" t="s">
        <v>227</v>
      </c>
      <c r="B1447" s="4" t="s">
        <v>284</v>
      </c>
      <c r="C1447" s="4" t="s">
        <v>284</v>
      </c>
      <c r="D1447" s="4" t="s">
        <v>284</v>
      </c>
      <c r="E1447" s="4" t="s">
        <v>284</v>
      </c>
      <c r="F1447" s="4" t="s">
        <v>284</v>
      </c>
      <c r="G1447" s="4" t="s">
        <v>284</v>
      </c>
      <c r="H1447" s="3">
        <v>0.33333333333333331</v>
      </c>
      <c r="I1447" s="3">
        <v>0.33333333333333331</v>
      </c>
      <c r="J1447" s="3">
        <v>0.33333333333333331</v>
      </c>
      <c r="K1447" s="4"/>
      <c r="L1447" s="4"/>
      <c r="M1447" s="4"/>
      <c r="N1447" s="4"/>
      <c r="O1447" s="4"/>
      <c r="P1447" s="4"/>
    </row>
    <row r="1448" spans="1:16" x14ac:dyDescent="0.25">
      <c r="A1448" s="4" t="s">
        <v>228</v>
      </c>
      <c r="B1448" s="4" t="s">
        <v>284</v>
      </c>
      <c r="C1448" s="4" t="s">
        <v>284</v>
      </c>
      <c r="D1448" s="4" t="s">
        <v>284</v>
      </c>
      <c r="E1448" s="4" t="s">
        <v>284</v>
      </c>
      <c r="F1448" s="4" t="s">
        <v>284</v>
      </c>
      <c r="G1448" s="4" t="s">
        <v>284</v>
      </c>
      <c r="H1448" s="3">
        <v>0.375</v>
      </c>
      <c r="I1448" s="3">
        <v>0.375</v>
      </c>
      <c r="J1448" s="3">
        <v>0.375</v>
      </c>
      <c r="K1448" s="4"/>
      <c r="L1448" s="4"/>
      <c r="M1448" s="4"/>
      <c r="N1448" s="4"/>
      <c r="O1448" s="4"/>
      <c r="P1448" s="4"/>
    </row>
    <row r="1449" spans="1:16" x14ac:dyDescent="0.25">
      <c r="A1449" s="4" t="s">
        <v>229</v>
      </c>
      <c r="B1449" s="4" t="s">
        <v>284</v>
      </c>
      <c r="C1449" s="4" t="s">
        <v>284</v>
      </c>
      <c r="D1449" s="4" t="s">
        <v>284</v>
      </c>
      <c r="E1449" s="4" t="s">
        <v>284</v>
      </c>
      <c r="F1449" s="4" t="s">
        <v>284</v>
      </c>
      <c r="G1449" s="4" t="s">
        <v>284</v>
      </c>
      <c r="H1449" s="3">
        <v>0.375</v>
      </c>
      <c r="I1449" s="3">
        <v>0.375</v>
      </c>
      <c r="J1449" s="3">
        <v>0.375</v>
      </c>
      <c r="K1449" s="4"/>
      <c r="L1449" s="4"/>
      <c r="M1449" s="4"/>
      <c r="N1449" s="4"/>
      <c r="O1449" s="4"/>
      <c r="P1449" s="4"/>
    </row>
    <row r="1450" spans="1:16" x14ac:dyDescent="0.25">
      <c r="A1450" s="4" t="s">
        <v>230</v>
      </c>
      <c r="B1450" s="4" t="s">
        <v>284</v>
      </c>
      <c r="C1450" s="4" t="s">
        <v>284</v>
      </c>
      <c r="D1450" s="4" t="s">
        <v>284</v>
      </c>
      <c r="E1450" s="4" t="s">
        <v>284</v>
      </c>
      <c r="F1450" s="4" t="s">
        <v>284</v>
      </c>
      <c r="G1450" s="4" t="s">
        <v>284</v>
      </c>
      <c r="H1450" s="3">
        <v>0.375</v>
      </c>
      <c r="I1450" s="3">
        <v>0.375</v>
      </c>
      <c r="J1450" s="3">
        <v>0.375</v>
      </c>
      <c r="K1450" s="4"/>
      <c r="L1450" s="4"/>
      <c r="M1450" s="4"/>
      <c r="N1450" s="4"/>
      <c r="O1450" s="4"/>
      <c r="P1450" s="4"/>
    </row>
    <row r="1451" spans="1:16" x14ac:dyDescent="0.25">
      <c r="A1451" s="4" t="s">
        <v>231</v>
      </c>
      <c r="B1451" s="4" t="s">
        <v>284</v>
      </c>
      <c r="C1451" s="4" t="s">
        <v>284</v>
      </c>
      <c r="D1451" s="4" t="s">
        <v>284</v>
      </c>
      <c r="E1451" s="4" t="s">
        <v>284</v>
      </c>
      <c r="F1451" s="4" t="s">
        <v>284</v>
      </c>
      <c r="G1451" s="4" t="s">
        <v>284</v>
      </c>
      <c r="H1451" s="3">
        <v>0.375</v>
      </c>
      <c r="I1451" s="3">
        <v>0.375</v>
      </c>
      <c r="J1451" s="3">
        <v>0.375</v>
      </c>
      <c r="K1451" s="4"/>
      <c r="L1451" s="4"/>
      <c r="M1451" s="4"/>
      <c r="N1451" s="4"/>
      <c r="O1451" s="4"/>
      <c r="P1451" s="4"/>
    </row>
    <row r="1452" spans="1:16" x14ac:dyDescent="0.25">
      <c r="A1452" s="4" t="s">
        <v>232</v>
      </c>
      <c r="B1452" s="4" t="s">
        <v>284</v>
      </c>
      <c r="C1452" s="4" t="s">
        <v>284</v>
      </c>
      <c r="D1452" s="4" t="s">
        <v>284</v>
      </c>
      <c r="E1452" s="4" t="s">
        <v>284</v>
      </c>
      <c r="F1452" s="4" t="s">
        <v>284</v>
      </c>
      <c r="G1452" s="4" t="s">
        <v>284</v>
      </c>
      <c r="H1452" s="4"/>
      <c r="I1452" s="4"/>
      <c r="J1452" s="4"/>
      <c r="K1452" s="4"/>
      <c r="L1452" s="4"/>
      <c r="M1452" s="4"/>
      <c r="N1452" s="4"/>
      <c r="O1452" s="4"/>
      <c r="P1452" s="4"/>
    </row>
    <row r="1453" spans="1:16" x14ac:dyDescent="0.25">
      <c r="A1453" s="4" t="s">
        <v>233</v>
      </c>
      <c r="B1453" s="4" t="s">
        <v>284</v>
      </c>
      <c r="C1453" s="4" t="s">
        <v>284</v>
      </c>
      <c r="D1453" s="4" t="s">
        <v>284</v>
      </c>
      <c r="E1453" s="4" t="s">
        <v>284</v>
      </c>
      <c r="F1453" s="4" t="s">
        <v>284</v>
      </c>
      <c r="G1453" s="4" t="s">
        <v>284</v>
      </c>
      <c r="H1453" s="4"/>
      <c r="I1453" s="4"/>
      <c r="J1453" s="4"/>
      <c r="K1453" s="4"/>
      <c r="L1453" s="4"/>
      <c r="M1453" s="4"/>
      <c r="N1453" s="4"/>
      <c r="O1453" s="4"/>
      <c r="P1453" s="4"/>
    </row>
    <row r="1454" spans="1:16" x14ac:dyDescent="0.25">
      <c r="A1454" s="4" t="s">
        <v>234</v>
      </c>
      <c r="B1454" s="4" t="s">
        <v>284</v>
      </c>
      <c r="C1454" s="4" t="s">
        <v>284</v>
      </c>
      <c r="D1454" s="4" t="s">
        <v>284</v>
      </c>
      <c r="E1454" s="4" t="s">
        <v>284</v>
      </c>
      <c r="F1454" s="4" t="s">
        <v>284</v>
      </c>
      <c r="G1454" s="4" t="s">
        <v>284</v>
      </c>
      <c r="H1454" s="3">
        <v>0.33333333333333331</v>
      </c>
      <c r="I1454" s="3">
        <v>0.33333333333333331</v>
      </c>
      <c r="J1454" s="3">
        <v>0.33333333333333331</v>
      </c>
      <c r="K1454" s="4"/>
      <c r="L1454" s="4"/>
      <c r="M1454" s="4"/>
      <c r="N1454" s="4"/>
      <c r="O1454" s="4"/>
      <c r="P1454" s="4"/>
    </row>
    <row r="1455" spans="1:16" x14ac:dyDescent="0.25">
      <c r="A1455" s="4" t="s">
        <v>235</v>
      </c>
      <c r="B1455" s="4" t="s">
        <v>284</v>
      </c>
      <c r="C1455" s="4" t="s">
        <v>284</v>
      </c>
      <c r="D1455" s="4" t="s">
        <v>284</v>
      </c>
      <c r="E1455" s="4" t="s">
        <v>284</v>
      </c>
      <c r="F1455" s="4" t="s">
        <v>284</v>
      </c>
      <c r="G1455" s="4" t="s">
        <v>284</v>
      </c>
      <c r="H1455" s="3">
        <v>0.375</v>
      </c>
      <c r="I1455" s="3">
        <v>0.375</v>
      </c>
      <c r="J1455" s="3">
        <v>0.375</v>
      </c>
      <c r="K1455" s="4"/>
      <c r="L1455" s="4"/>
      <c r="M1455" s="4"/>
      <c r="N1455" s="4"/>
      <c r="O1455" s="4"/>
      <c r="P1455" s="4"/>
    </row>
    <row r="1456" spans="1:16" x14ac:dyDescent="0.25">
      <c r="A1456" s="4" t="s">
        <v>236</v>
      </c>
      <c r="B1456" s="4" t="s">
        <v>284</v>
      </c>
      <c r="C1456" s="4" t="s">
        <v>284</v>
      </c>
      <c r="D1456" s="4" t="s">
        <v>284</v>
      </c>
      <c r="E1456" s="4" t="s">
        <v>284</v>
      </c>
      <c r="F1456" s="4" t="s">
        <v>284</v>
      </c>
      <c r="G1456" s="4" t="s">
        <v>284</v>
      </c>
      <c r="H1456" s="3">
        <v>0.375</v>
      </c>
      <c r="I1456" s="3">
        <v>0.375</v>
      </c>
      <c r="J1456" s="3">
        <v>0.375</v>
      </c>
      <c r="K1456" s="4"/>
      <c r="L1456" s="4"/>
      <c r="M1456" s="4"/>
      <c r="N1456" s="4"/>
      <c r="O1456" s="4"/>
      <c r="P1456" s="4"/>
    </row>
    <row r="1457" spans="1:16" x14ac:dyDescent="0.25">
      <c r="A1457" s="4" t="s">
        <v>237</v>
      </c>
      <c r="B1457" s="4" t="s">
        <v>284</v>
      </c>
      <c r="C1457" s="4" t="s">
        <v>284</v>
      </c>
      <c r="D1457" s="4" t="s">
        <v>284</v>
      </c>
      <c r="E1457" s="4" t="s">
        <v>284</v>
      </c>
      <c r="F1457" s="4" t="s">
        <v>284</v>
      </c>
      <c r="G1457" s="4" t="s">
        <v>284</v>
      </c>
      <c r="H1457" s="3">
        <v>0.375</v>
      </c>
      <c r="I1457" s="3">
        <v>0.375</v>
      </c>
      <c r="J1457" s="3">
        <v>0.375</v>
      </c>
      <c r="K1457" s="4"/>
      <c r="L1457" s="4"/>
      <c r="M1457" s="4"/>
      <c r="N1457" s="4"/>
      <c r="O1457" s="4"/>
      <c r="P1457" s="4"/>
    </row>
    <row r="1458" spans="1:16" x14ac:dyDescent="0.25">
      <c r="A1458" s="4" t="s">
        <v>238</v>
      </c>
      <c r="B1458" s="4" t="s">
        <v>284</v>
      </c>
      <c r="C1458" s="4" t="s">
        <v>284</v>
      </c>
      <c r="D1458" s="4" t="s">
        <v>284</v>
      </c>
      <c r="E1458" s="4" t="s">
        <v>284</v>
      </c>
      <c r="F1458" s="4" t="s">
        <v>284</v>
      </c>
      <c r="G1458" s="4" t="s">
        <v>284</v>
      </c>
      <c r="H1458" s="3">
        <v>0.375</v>
      </c>
      <c r="I1458" s="3">
        <v>0.375</v>
      </c>
      <c r="J1458" s="3">
        <v>0.375</v>
      </c>
      <c r="K1458" s="4"/>
      <c r="L1458" s="4"/>
      <c r="M1458" s="4"/>
      <c r="N1458" s="4"/>
      <c r="O1458" s="4"/>
      <c r="P1458" s="4"/>
    </row>
    <row r="1459" spans="1:16" x14ac:dyDescent="0.25">
      <c r="A1459" s="4" t="s">
        <v>239</v>
      </c>
      <c r="B1459" s="4" t="s">
        <v>284</v>
      </c>
      <c r="C1459" s="4" t="s">
        <v>284</v>
      </c>
      <c r="D1459" s="4" t="s">
        <v>284</v>
      </c>
      <c r="E1459" s="4" t="s">
        <v>284</v>
      </c>
      <c r="F1459" s="4" t="s">
        <v>284</v>
      </c>
      <c r="G1459" s="4" t="s">
        <v>284</v>
      </c>
      <c r="H1459" s="4"/>
      <c r="I1459" s="4"/>
      <c r="J1459" s="4"/>
      <c r="K1459" s="4"/>
      <c r="L1459" s="4"/>
      <c r="M1459" s="4"/>
      <c r="N1459" s="4"/>
      <c r="O1459" s="4"/>
      <c r="P1459" s="4"/>
    </row>
    <row r="1460" spans="1:16" x14ac:dyDescent="0.25">
      <c r="A1460" s="4" t="s">
        <v>240</v>
      </c>
      <c r="B1460" s="4" t="s">
        <v>284</v>
      </c>
      <c r="C1460" s="4" t="s">
        <v>284</v>
      </c>
      <c r="D1460" s="4" t="s">
        <v>284</v>
      </c>
      <c r="E1460" s="4" t="s">
        <v>284</v>
      </c>
      <c r="F1460" s="4" t="s">
        <v>284</v>
      </c>
      <c r="G1460" s="4" t="s">
        <v>284</v>
      </c>
      <c r="H1460" s="4"/>
      <c r="I1460" s="4"/>
      <c r="J1460" s="4"/>
      <c r="K1460" s="4"/>
      <c r="L1460" s="4"/>
      <c r="M1460" s="4"/>
      <c r="N1460" s="4"/>
      <c r="O1460" s="4"/>
      <c r="P1460" s="4"/>
    </row>
    <row r="1461" spans="1:16" x14ac:dyDescent="0.25">
      <c r="A1461" s="4" t="s">
        <v>241</v>
      </c>
      <c r="B1461" s="4" t="s">
        <v>284</v>
      </c>
      <c r="C1461" s="4" t="s">
        <v>284</v>
      </c>
      <c r="D1461" s="4" t="s">
        <v>284</v>
      </c>
      <c r="E1461" s="4" t="s">
        <v>284</v>
      </c>
      <c r="F1461" s="4" t="s">
        <v>284</v>
      </c>
      <c r="G1461" s="4" t="s">
        <v>284</v>
      </c>
      <c r="H1461" s="3">
        <v>0.33333333333333331</v>
      </c>
      <c r="I1461" s="3">
        <v>0.33333333333333331</v>
      </c>
      <c r="J1461" s="3">
        <v>0.33333333333333331</v>
      </c>
      <c r="K1461" s="4"/>
      <c r="L1461" s="4"/>
      <c r="M1461" s="4"/>
      <c r="N1461" s="4"/>
      <c r="O1461" s="4"/>
      <c r="P1461" s="4"/>
    </row>
    <row r="1462" spans="1:16" x14ac:dyDescent="0.25">
      <c r="A1462" s="4" t="s">
        <v>242</v>
      </c>
      <c r="B1462" s="4" t="s">
        <v>284</v>
      </c>
      <c r="C1462" s="4" t="s">
        <v>284</v>
      </c>
      <c r="D1462" s="4" t="s">
        <v>284</v>
      </c>
      <c r="E1462" s="4" t="s">
        <v>284</v>
      </c>
      <c r="F1462" s="4" t="s">
        <v>284</v>
      </c>
      <c r="G1462" s="4" t="s">
        <v>284</v>
      </c>
      <c r="H1462" s="3">
        <v>0.375</v>
      </c>
      <c r="I1462" s="3">
        <v>0.375</v>
      </c>
      <c r="J1462" s="3">
        <v>0.375</v>
      </c>
      <c r="K1462" s="4"/>
      <c r="L1462" s="4"/>
      <c r="M1462" s="4"/>
      <c r="N1462" s="4"/>
      <c r="O1462" s="4"/>
      <c r="P1462" s="4"/>
    </row>
    <row r="1463" spans="1:16" x14ac:dyDescent="0.25">
      <c r="A1463" s="4" t="s">
        <v>243</v>
      </c>
      <c r="B1463" s="4" t="s">
        <v>284</v>
      </c>
      <c r="C1463" s="4" t="s">
        <v>284</v>
      </c>
      <c r="D1463" s="4" t="s">
        <v>284</v>
      </c>
      <c r="E1463" s="4" t="s">
        <v>284</v>
      </c>
      <c r="F1463" s="4" t="s">
        <v>284</v>
      </c>
      <c r="G1463" s="4" t="s">
        <v>284</v>
      </c>
      <c r="H1463" s="3">
        <v>0.375</v>
      </c>
      <c r="I1463" s="3">
        <v>0.375</v>
      </c>
      <c r="J1463" s="3">
        <v>0.375</v>
      </c>
      <c r="K1463" s="4"/>
      <c r="L1463" s="4"/>
      <c r="M1463" s="4"/>
      <c r="N1463" s="4"/>
      <c r="O1463" s="4"/>
      <c r="P1463" s="4"/>
    </row>
    <row r="1464" spans="1:16" x14ac:dyDescent="0.25">
      <c r="A1464" s="4" t="s">
        <v>244</v>
      </c>
      <c r="B1464" s="4" t="s">
        <v>284</v>
      </c>
      <c r="C1464" s="4" t="s">
        <v>284</v>
      </c>
      <c r="D1464" s="4" t="s">
        <v>284</v>
      </c>
      <c r="E1464" s="4" t="s">
        <v>284</v>
      </c>
      <c r="F1464" s="4" t="s">
        <v>284</v>
      </c>
      <c r="G1464" s="4" t="s">
        <v>284</v>
      </c>
      <c r="H1464" s="4"/>
      <c r="I1464" s="4"/>
      <c r="J1464" s="4"/>
      <c r="K1464" s="4"/>
      <c r="L1464" s="4"/>
      <c r="M1464" s="4"/>
      <c r="N1464" s="4"/>
      <c r="O1464" s="4"/>
      <c r="P1464" s="4"/>
    </row>
    <row r="1465" spans="1:16" x14ac:dyDescent="0.25">
      <c r="A1465" s="4" t="s">
        <v>245</v>
      </c>
      <c r="B1465" s="4" t="s">
        <v>284</v>
      </c>
      <c r="C1465" s="4" t="s">
        <v>284</v>
      </c>
      <c r="D1465" s="4" t="s">
        <v>284</v>
      </c>
      <c r="E1465" s="4" t="s">
        <v>284</v>
      </c>
      <c r="F1465" s="4" t="s">
        <v>284</v>
      </c>
      <c r="G1465" s="4" t="s">
        <v>284</v>
      </c>
      <c r="H1465" s="3">
        <v>0.375</v>
      </c>
      <c r="I1465" s="3">
        <v>0.375</v>
      </c>
      <c r="J1465" s="3">
        <v>0.375</v>
      </c>
      <c r="K1465" s="4"/>
      <c r="L1465" s="4"/>
      <c r="M1465" s="4"/>
      <c r="N1465" s="4"/>
      <c r="O1465" s="4"/>
      <c r="P1465" s="4"/>
    </row>
    <row r="1466" spans="1:16" x14ac:dyDescent="0.25">
      <c r="A1466" s="4" t="s">
        <v>246</v>
      </c>
      <c r="B1466" s="4" t="s">
        <v>284</v>
      </c>
      <c r="C1466" s="4" t="s">
        <v>284</v>
      </c>
      <c r="D1466" s="4" t="s">
        <v>284</v>
      </c>
      <c r="E1466" s="4" t="s">
        <v>284</v>
      </c>
      <c r="F1466" s="4" t="s">
        <v>284</v>
      </c>
      <c r="G1466" s="4" t="s">
        <v>284</v>
      </c>
      <c r="H1466" s="4"/>
      <c r="I1466" s="4"/>
      <c r="J1466" s="4"/>
      <c r="K1466" s="4"/>
      <c r="L1466" s="4"/>
      <c r="M1466" s="4"/>
      <c r="N1466" s="4"/>
      <c r="O1466" s="4"/>
      <c r="P1466" s="4"/>
    </row>
    <row r="1467" spans="1:16" x14ac:dyDescent="0.25">
      <c r="A1467" s="4" t="s">
        <v>247</v>
      </c>
      <c r="B1467" s="4" t="s">
        <v>284</v>
      </c>
      <c r="C1467" s="4" t="s">
        <v>284</v>
      </c>
      <c r="D1467" s="4" t="s">
        <v>284</v>
      </c>
      <c r="E1467" s="4" t="s">
        <v>284</v>
      </c>
      <c r="F1467" s="4" t="s">
        <v>284</v>
      </c>
      <c r="G1467" s="4" t="s">
        <v>284</v>
      </c>
      <c r="H1467" s="4"/>
      <c r="I1467" s="4"/>
      <c r="J1467" s="4"/>
      <c r="K1467" s="4"/>
      <c r="L1467" s="4"/>
      <c r="M1467" s="4"/>
      <c r="N1467" s="4"/>
      <c r="O1467" s="4"/>
      <c r="P1467" s="4"/>
    </row>
    <row r="1468" spans="1:16" x14ac:dyDescent="0.25">
      <c r="A1468" s="4" t="s">
        <v>248</v>
      </c>
      <c r="B1468" s="4" t="s">
        <v>284</v>
      </c>
      <c r="C1468" s="4" t="s">
        <v>284</v>
      </c>
      <c r="D1468" s="4" t="s">
        <v>284</v>
      </c>
      <c r="E1468" s="4" t="s">
        <v>284</v>
      </c>
      <c r="F1468" s="4" t="s">
        <v>284</v>
      </c>
      <c r="G1468" s="4" t="s">
        <v>284</v>
      </c>
      <c r="H1468" s="3">
        <v>0.33333333333333331</v>
      </c>
      <c r="I1468" s="3">
        <v>0.33333333333333331</v>
      </c>
      <c r="J1468" s="3">
        <v>0.33333333333333331</v>
      </c>
      <c r="K1468" s="4"/>
      <c r="L1468" s="4"/>
      <c r="M1468" s="4"/>
      <c r="N1468" s="4"/>
      <c r="O1468" s="4"/>
      <c r="P1468" s="4"/>
    </row>
    <row r="1469" spans="1:16" x14ac:dyDescent="0.25">
      <c r="A1469" s="4" t="s">
        <v>249</v>
      </c>
      <c r="B1469" s="4" t="s">
        <v>284</v>
      </c>
      <c r="C1469" s="4" t="s">
        <v>284</v>
      </c>
      <c r="D1469" s="4" t="s">
        <v>284</v>
      </c>
      <c r="E1469" s="4" t="s">
        <v>284</v>
      </c>
      <c r="F1469" s="4" t="s">
        <v>284</v>
      </c>
      <c r="G1469" s="4" t="s">
        <v>284</v>
      </c>
      <c r="H1469" s="3">
        <v>0.375</v>
      </c>
      <c r="I1469" s="3">
        <v>0.375</v>
      </c>
      <c r="J1469" s="3">
        <v>0.375</v>
      </c>
      <c r="K1469" s="4"/>
      <c r="L1469" s="4"/>
      <c r="M1469" s="4"/>
      <c r="N1469" s="4"/>
      <c r="O1469" s="4"/>
      <c r="P1469" s="4"/>
    </row>
    <row r="1470" spans="1:16" x14ac:dyDescent="0.25">
      <c r="A1470" s="4" t="s">
        <v>251</v>
      </c>
      <c r="B1470" s="4" t="s">
        <v>284</v>
      </c>
      <c r="C1470" s="4" t="s">
        <v>284</v>
      </c>
      <c r="D1470" s="4" t="s">
        <v>284</v>
      </c>
      <c r="E1470" s="4" t="s">
        <v>284</v>
      </c>
      <c r="F1470" s="4" t="s">
        <v>284</v>
      </c>
      <c r="G1470" s="4" t="s">
        <v>284</v>
      </c>
      <c r="H1470" s="3">
        <v>0.375</v>
      </c>
      <c r="I1470" s="3">
        <v>0.375</v>
      </c>
      <c r="J1470" s="3">
        <v>0.375</v>
      </c>
      <c r="K1470" s="4"/>
      <c r="L1470" s="4"/>
      <c r="M1470" s="4"/>
      <c r="N1470" s="4"/>
      <c r="O1470" s="4"/>
      <c r="P1470" s="4"/>
    </row>
    <row r="1471" spans="1:16" x14ac:dyDescent="0.25">
      <c r="A1471" s="4" t="s">
        <v>256</v>
      </c>
      <c r="B1471" s="4" t="s">
        <v>284</v>
      </c>
      <c r="C1471" s="4" t="s">
        <v>284</v>
      </c>
      <c r="D1471" s="4" t="s">
        <v>284</v>
      </c>
      <c r="E1471" s="4" t="s">
        <v>284</v>
      </c>
      <c r="F1471" s="4" t="s">
        <v>284</v>
      </c>
      <c r="G1471" s="4" t="s">
        <v>284</v>
      </c>
      <c r="H1471" s="3">
        <v>0.375</v>
      </c>
      <c r="I1471" s="3">
        <v>0.375</v>
      </c>
      <c r="J1471" s="3">
        <v>0.375</v>
      </c>
      <c r="K1471" s="4"/>
      <c r="L1471" s="4"/>
      <c r="M1471" s="4"/>
      <c r="N1471" s="4"/>
      <c r="O1471" s="4"/>
      <c r="P1471" s="4"/>
    </row>
    <row r="1472" spans="1:16" x14ac:dyDescent="0.25">
      <c r="A1472" s="4" t="s">
        <v>259</v>
      </c>
      <c r="B1472" s="4" t="s">
        <v>284</v>
      </c>
      <c r="C1472" s="4" t="s">
        <v>284</v>
      </c>
      <c r="D1472" s="4" t="s">
        <v>284</v>
      </c>
      <c r="E1472" s="4" t="s">
        <v>284</v>
      </c>
      <c r="F1472" s="4" t="s">
        <v>284</v>
      </c>
      <c r="G1472" s="4" t="s">
        <v>284</v>
      </c>
      <c r="H1472" s="3">
        <v>0.375</v>
      </c>
      <c r="I1472" s="3">
        <v>0.375</v>
      </c>
      <c r="J1472" s="3">
        <v>0.375</v>
      </c>
      <c r="K1472" s="4"/>
      <c r="L1472" s="4"/>
      <c r="M1472" s="4"/>
      <c r="N1472" s="4"/>
      <c r="O1472" s="4"/>
      <c r="P1472" s="4"/>
    </row>
    <row r="1473" spans="1:16" x14ac:dyDescent="0.25">
      <c r="A1473" s="4" t="s">
        <v>260</v>
      </c>
      <c r="B1473" s="4" t="s">
        <v>284</v>
      </c>
      <c r="C1473" s="4" t="s">
        <v>284</v>
      </c>
      <c r="D1473" s="4" t="s">
        <v>284</v>
      </c>
      <c r="E1473" s="4" t="s">
        <v>284</v>
      </c>
      <c r="F1473" s="4" t="s">
        <v>284</v>
      </c>
      <c r="G1473" s="4" t="s">
        <v>284</v>
      </c>
      <c r="H1473" s="4"/>
      <c r="I1473" s="4"/>
      <c r="J1473" s="4"/>
      <c r="K1473" s="4"/>
      <c r="L1473" s="4"/>
      <c r="M1473" s="4"/>
      <c r="N1473" s="4"/>
      <c r="O1473" s="4"/>
      <c r="P1473" s="4"/>
    </row>
    <row r="1474" spans="1:16" x14ac:dyDescent="0.25">
      <c r="A1474" s="4" t="s">
        <v>261</v>
      </c>
      <c r="B1474" s="4" t="s">
        <v>284</v>
      </c>
      <c r="C1474" s="4" t="s">
        <v>284</v>
      </c>
      <c r="D1474" s="4" t="s">
        <v>284</v>
      </c>
      <c r="E1474" s="4" t="s">
        <v>284</v>
      </c>
      <c r="F1474" s="4" t="s">
        <v>284</v>
      </c>
      <c r="G1474" s="4" t="s">
        <v>284</v>
      </c>
      <c r="H1474" s="4"/>
      <c r="I1474" s="4"/>
      <c r="J1474" s="4"/>
      <c r="K1474" s="4"/>
      <c r="L1474" s="4"/>
      <c r="M1474" s="4"/>
      <c r="N1474" s="4"/>
      <c r="O1474" s="4"/>
      <c r="P1474" s="4"/>
    </row>
    <row r="1475" spans="1:16" x14ac:dyDescent="0.25">
      <c r="A1475" s="4" t="s">
        <v>262</v>
      </c>
      <c r="B1475" s="4" t="s">
        <v>284</v>
      </c>
      <c r="C1475" s="4" t="s">
        <v>284</v>
      </c>
      <c r="D1475" s="4" t="s">
        <v>284</v>
      </c>
      <c r="E1475" s="4" t="s">
        <v>284</v>
      </c>
      <c r="F1475" s="4" t="s">
        <v>284</v>
      </c>
      <c r="G1475" s="4" t="s">
        <v>284</v>
      </c>
      <c r="H1475" s="3">
        <v>0.33333333333333331</v>
      </c>
      <c r="I1475" s="3">
        <v>0.33333333333333331</v>
      </c>
      <c r="J1475" s="3">
        <v>0.33333333333333331</v>
      </c>
      <c r="K1475" s="4"/>
      <c r="L1475" s="4"/>
      <c r="M1475" s="4"/>
      <c r="N1475" s="4"/>
      <c r="O1475" s="4"/>
      <c r="P1475" s="4"/>
    </row>
    <row r="1476" spans="1:16" x14ac:dyDescent="0.25">
      <c r="A1476" s="4" t="s">
        <v>263</v>
      </c>
      <c r="B1476" s="4" t="s">
        <v>284</v>
      </c>
      <c r="C1476" s="4" t="s">
        <v>284</v>
      </c>
      <c r="D1476" s="4" t="s">
        <v>284</v>
      </c>
      <c r="E1476" s="4" t="s">
        <v>284</v>
      </c>
      <c r="F1476" s="4" t="s">
        <v>284</v>
      </c>
      <c r="G1476" s="4" t="s">
        <v>284</v>
      </c>
      <c r="H1476" s="3">
        <v>0.375</v>
      </c>
      <c r="I1476" s="3">
        <v>0.375</v>
      </c>
      <c r="J1476" s="3">
        <v>0.375</v>
      </c>
      <c r="K1476" s="4"/>
      <c r="L1476" s="4"/>
      <c r="M1476" s="4"/>
      <c r="N1476" s="4"/>
      <c r="O1476" s="4"/>
      <c r="P1476" s="4"/>
    </row>
    <row r="1477" spans="1:16" x14ac:dyDescent="0.25">
      <c r="A1477" s="4" t="s">
        <v>264</v>
      </c>
      <c r="B1477" s="4" t="s">
        <v>284</v>
      </c>
      <c r="C1477" s="4" t="s">
        <v>284</v>
      </c>
      <c r="D1477" s="4" t="s">
        <v>284</v>
      </c>
      <c r="E1477" s="4" t="s">
        <v>284</v>
      </c>
      <c r="F1477" s="4" t="s">
        <v>284</v>
      </c>
      <c r="G1477" s="4" t="s">
        <v>284</v>
      </c>
      <c r="H1477" s="3">
        <v>0.375</v>
      </c>
      <c r="I1477" s="3">
        <v>0.375</v>
      </c>
      <c r="J1477" s="3">
        <v>0.375</v>
      </c>
      <c r="K1477" s="4"/>
      <c r="L1477" s="4"/>
      <c r="M1477" s="4"/>
      <c r="N1477" s="4"/>
      <c r="O1477" s="4"/>
      <c r="P1477" s="4"/>
    </row>
    <row r="1479" spans="1:16" x14ac:dyDescent="0.25">
      <c r="A1479" s="7" t="s">
        <v>45</v>
      </c>
    </row>
    <row r="1482" spans="1:16" x14ac:dyDescent="0.25">
      <c r="A1482" s="7" t="s">
        <v>46</v>
      </c>
    </row>
    <row r="1483" spans="1:16" x14ac:dyDescent="0.25">
      <c r="A1483" s="7" t="s">
        <v>100</v>
      </c>
      <c r="F1483" s="7" t="s">
        <v>47</v>
      </c>
    </row>
    <row r="1484" spans="1:16" x14ac:dyDescent="0.25">
      <c r="F1484" s="7"/>
    </row>
    <row r="1488" spans="1:16" x14ac:dyDescent="0.25">
      <c r="G1488" s="1" t="s">
        <v>18</v>
      </c>
    </row>
    <row r="1489" spans="1:16" x14ac:dyDescent="0.25">
      <c r="A1489" s="1" t="s">
        <v>1</v>
      </c>
      <c r="B1489" t="s">
        <v>2</v>
      </c>
      <c r="H1489" s="1" t="s">
        <v>19</v>
      </c>
      <c r="I1489" s="1" t="s">
        <v>20</v>
      </c>
      <c r="J1489" s="1" t="s">
        <v>21</v>
      </c>
      <c r="K1489" s="1" t="s">
        <v>22</v>
      </c>
      <c r="L1489" s="1" t="s">
        <v>23</v>
      </c>
      <c r="M1489" s="1" t="s">
        <v>24</v>
      </c>
    </row>
    <row r="1490" spans="1:16" x14ac:dyDescent="0.25">
      <c r="A1490" s="1" t="s">
        <v>3</v>
      </c>
      <c r="B1490" t="s">
        <v>4</v>
      </c>
      <c r="G1490" s="1" t="s">
        <v>220</v>
      </c>
      <c r="H1490" s="3">
        <v>0.375</v>
      </c>
      <c r="I1490" s="3">
        <v>0.5</v>
      </c>
      <c r="J1490" s="3">
        <v>0.54166666666666663</v>
      </c>
      <c r="K1490" s="3">
        <v>0.75</v>
      </c>
      <c r="L1490" s="4"/>
      <c r="M1490" s="4"/>
    </row>
    <row r="1491" spans="1:16" x14ac:dyDescent="0.25">
      <c r="A1491" s="1" t="s">
        <v>5</v>
      </c>
      <c r="B1491" t="s">
        <v>6</v>
      </c>
      <c r="G1491" s="1" t="s">
        <v>221</v>
      </c>
      <c r="H1491" s="3">
        <v>0.375</v>
      </c>
      <c r="I1491" s="3">
        <v>0.5</v>
      </c>
      <c r="J1491" s="3">
        <v>0.54166666666666663</v>
      </c>
      <c r="K1491" s="3">
        <v>0.79166666666666663</v>
      </c>
      <c r="L1491" s="4"/>
      <c r="M1491" s="4"/>
    </row>
    <row r="1492" spans="1:16" x14ac:dyDescent="0.25">
      <c r="G1492" s="1" t="s">
        <v>222</v>
      </c>
      <c r="H1492" s="3">
        <v>0.375</v>
      </c>
      <c r="I1492" s="3">
        <v>0.5</v>
      </c>
      <c r="J1492" s="3">
        <v>0.54166666666666663</v>
      </c>
      <c r="K1492" s="3">
        <v>0.79166666666666663</v>
      </c>
      <c r="L1492" s="4"/>
      <c r="M1492" s="4"/>
    </row>
    <row r="1493" spans="1:16" x14ac:dyDescent="0.25">
      <c r="A1493" s="1" t="s">
        <v>7</v>
      </c>
      <c r="B1493" t="s">
        <v>102</v>
      </c>
      <c r="G1493" s="1" t="s">
        <v>223</v>
      </c>
      <c r="H1493" s="3">
        <v>0.375</v>
      </c>
      <c r="I1493" s="3">
        <v>0.5</v>
      </c>
      <c r="J1493" s="3">
        <v>0.54166666666666663</v>
      </c>
      <c r="K1493" s="3">
        <v>0.79166666666666663</v>
      </c>
      <c r="L1493" s="4"/>
      <c r="M1493" s="4"/>
    </row>
    <row r="1494" spans="1:16" x14ac:dyDescent="0.25">
      <c r="A1494" s="1" t="s">
        <v>9</v>
      </c>
      <c r="B1494" t="s">
        <v>103</v>
      </c>
      <c r="D1494" s="1" t="s">
        <v>11</v>
      </c>
      <c r="E1494" t="s">
        <v>103</v>
      </c>
      <c r="G1494" s="1" t="s">
        <v>224</v>
      </c>
      <c r="H1494" s="3">
        <v>0.375</v>
      </c>
      <c r="I1494" s="3">
        <v>0.5</v>
      </c>
      <c r="J1494" s="3">
        <v>0.54166666666666663</v>
      </c>
      <c r="K1494" s="3">
        <v>0.79166666666666663</v>
      </c>
      <c r="L1494" s="4"/>
      <c r="M1494" s="4"/>
    </row>
    <row r="1495" spans="1:16" x14ac:dyDescent="0.25">
      <c r="A1495" s="1" t="s">
        <v>12</v>
      </c>
      <c r="D1495" s="1" t="s">
        <v>13</v>
      </c>
      <c r="E1495" s="2">
        <v>42807</v>
      </c>
      <c r="G1495" s="1" t="s">
        <v>225</v>
      </c>
      <c r="H1495" s="4" t="s">
        <v>25</v>
      </c>
      <c r="I1495" s="4" t="s">
        <v>25</v>
      </c>
      <c r="J1495" s="4" t="s">
        <v>25</v>
      </c>
      <c r="K1495" s="4" t="s">
        <v>25</v>
      </c>
      <c r="L1495" s="4" t="s">
        <v>25</v>
      </c>
      <c r="M1495" s="4" t="s">
        <v>25</v>
      </c>
    </row>
    <row r="1496" spans="1:16" x14ac:dyDescent="0.25">
      <c r="A1496" s="1" t="s">
        <v>14</v>
      </c>
      <c r="B1496" t="s">
        <v>86</v>
      </c>
      <c r="G1496" s="1" t="s">
        <v>226</v>
      </c>
      <c r="H1496" s="4" t="s">
        <v>25</v>
      </c>
      <c r="I1496" s="4" t="s">
        <v>25</v>
      </c>
      <c r="J1496" s="4" t="s">
        <v>25</v>
      </c>
      <c r="K1496" s="4" t="s">
        <v>25</v>
      </c>
      <c r="L1496" s="4" t="s">
        <v>25</v>
      </c>
      <c r="M1496" s="4" t="s">
        <v>25</v>
      </c>
    </row>
    <row r="1497" spans="1:16" x14ac:dyDescent="0.25">
      <c r="A1497" s="1" t="s">
        <v>16</v>
      </c>
      <c r="B1497" t="s">
        <v>17</v>
      </c>
    </row>
    <row r="1500" spans="1:16" x14ac:dyDescent="0.25">
      <c r="A1500" s="5" t="s">
        <v>26</v>
      </c>
      <c r="B1500" s="5" t="s">
        <v>27</v>
      </c>
      <c r="C1500" s="5" t="s">
        <v>28</v>
      </c>
      <c r="D1500" s="5" t="s">
        <v>29</v>
      </c>
      <c r="E1500" s="5" t="s">
        <v>30</v>
      </c>
      <c r="F1500" s="5" t="s">
        <v>31</v>
      </c>
      <c r="G1500" s="5" t="s">
        <v>32</v>
      </c>
      <c r="H1500" s="5" t="s">
        <v>33</v>
      </c>
      <c r="I1500" s="5" t="s">
        <v>34</v>
      </c>
      <c r="J1500" s="5" t="s">
        <v>35</v>
      </c>
      <c r="K1500" s="5" t="s">
        <v>36</v>
      </c>
      <c r="L1500" s="5" t="s">
        <v>37</v>
      </c>
      <c r="M1500" s="5" t="s">
        <v>38</v>
      </c>
      <c r="N1500" s="5" t="s">
        <v>39</v>
      </c>
      <c r="O1500" s="5" t="s">
        <v>40</v>
      </c>
      <c r="P1500" s="5" t="s">
        <v>41</v>
      </c>
    </row>
    <row r="1501" spans="1:16" x14ac:dyDescent="0.25">
      <c r="A1501" s="4"/>
      <c r="B1501" s="4"/>
      <c r="C1501" s="4"/>
      <c r="D1501" s="4"/>
      <c r="E1501" s="4"/>
      <c r="F1501" s="4"/>
      <c r="G1501" s="4"/>
      <c r="H1501" s="6">
        <v>8.0416666666666661</v>
      </c>
      <c r="I1501" s="6">
        <v>8.0298611111111118</v>
      </c>
      <c r="J1501" s="6">
        <v>1.3520833333333335</v>
      </c>
      <c r="K1501" s="3">
        <v>0</v>
      </c>
      <c r="L1501" s="3">
        <v>0</v>
      </c>
      <c r="M1501" s="3">
        <v>0</v>
      </c>
      <c r="N1501" s="3">
        <v>0</v>
      </c>
      <c r="O1501" s="3">
        <v>1.1805555555555555E-2</v>
      </c>
      <c r="P1501" s="3">
        <v>1.9444444444444445E-2</v>
      </c>
    </row>
    <row r="1502" spans="1:16" x14ac:dyDescent="0.25">
      <c r="A1502" s="4" t="s">
        <v>227</v>
      </c>
      <c r="B1502" s="3">
        <v>0.39097222222222222</v>
      </c>
      <c r="C1502" s="3">
        <v>0.54583333333333328</v>
      </c>
      <c r="D1502" s="3">
        <v>0.58124999999999993</v>
      </c>
      <c r="E1502" s="3">
        <v>0.75555555555555554</v>
      </c>
      <c r="F1502" s="4"/>
      <c r="G1502" s="4"/>
      <c r="H1502" s="3">
        <v>0.33333333333333331</v>
      </c>
      <c r="I1502" s="3">
        <v>0.33333333333333331</v>
      </c>
      <c r="J1502" s="4"/>
      <c r="K1502" s="4"/>
      <c r="L1502" s="4"/>
      <c r="M1502" s="4"/>
      <c r="N1502" s="4"/>
      <c r="O1502" s="4"/>
      <c r="P1502" s="4"/>
    </row>
    <row r="1503" spans="1:16" x14ac:dyDescent="0.25">
      <c r="A1503" s="4" t="s">
        <v>228</v>
      </c>
      <c r="B1503" s="3">
        <v>0.37916666666666665</v>
      </c>
      <c r="C1503" s="3">
        <v>0.61875000000000002</v>
      </c>
      <c r="D1503" s="3">
        <v>0.66249999999999998</v>
      </c>
      <c r="E1503" s="3">
        <v>0.79375000000000007</v>
      </c>
      <c r="F1503" s="4"/>
      <c r="G1503" s="4"/>
      <c r="H1503" s="3">
        <v>0.375</v>
      </c>
      <c r="I1503" s="3">
        <v>0.375</v>
      </c>
      <c r="J1503" s="4"/>
      <c r="K1503" s="4"/>
      <c r="L1503" s="4"/>
      <c r="M1503" s="4"/>
      <c r="N1503" s="4"/>
      <c r="O1503" s="4"/>
      <c r="P1503" s="4"/>
    </row>
    <row r="1504" spans="1:16" x14ac:dyDescent="0.25">
      <c r="A1504" s="4" t="s">
        <v>229</v>
      </c>
      <c r="B1504" s="3">
        <v>0.36736111111111108</v>
      </c>
      <c r="C1504" s="3">
        <v>0.55347222222222225</v>
      </c>
      <c r="D1504" s="3">
        <v>0.59236111111111112</v>
      </c>
      <c r="E1504" s="3">
        <v>0.79305555555555562</v>
      </c>
      <c r="F1504" s="4"/>
      <c r="G1504" s="4"/>
      <c r="H1504" s="3">
        <v>0.375</v>
      </c>
      <c r="I1504" s="3">
        <v>0.375</v>
      </c>
      <c r="J1504" s="4"/>
      <c r="K1504" s="4"/>
      <c r="L1504" s="4"/>
      <c r="M1504" s="4"/>
      <c r="N1504" s="4"/>
      <c r="O1504" s="4"/>
      <c r="P1504" s="3">
        <v>1.0416666666666666E-2</v>
      </c>
    </row>
    <row r="1505" spans="1:16" x14ac:dyDescent="0.25">
      <c r="A1505" s="4" t="s">
        <v>230</v>
      </c>
      <c r="B1505" s="3">
        <v>0.37013888888888885</v>
      </c>
      <c r="C1505" s="3">
        <v>0.55763888888888891</v>
      </c>
      <c r="D1505" s="3">
        <v>0.59791666666666665</v>
      </c>
      <c r="E1505" s="3">
        <v>0.79305555555555562</v>
      </c>
      <c r="F1505" s="4"/>
      <c r="G1505" s="4"/>
      <c r="H1505" s="3">
        <v>0.375</v>
      </c>
      <c r="I1505" s="3">
        <v>0.375</v>
      </c>
      <c r="J1505" s="4"/>
      <c r="K1505" s="4"/>
      <c r="L1505" s="4"/>
      <c r="M1505" s="4"/>
      <c r="N1505" s="4"/>
      <c r="O1505" s="4"/>
      <c r="P1505" s="4"/>
    </row>
    <row r="1506" spans="1:16" x14ac:dyDescent="0.25">
      <c r="A1506" s="4" t="s">
        <v>231</v>
      </c>
      <c r="B1506" s="3">
        <v>0.37361111111111112</v>
      </c>
      <c r="C1506" s="3">
        <v>0.49791666666666662</v>
      </c>
      <c r="D1506" s="3">
        <v>0.54583333333333328</v>
      </c>
      <c r="E1506" s="3">
        <v>0.79236111111111107</v>
      </c>
      <c r="F1506" s="4"/>
      <c r="G1506" s="4"/>
      <c r="H1506" s="3">
        <v>0.375</v>
      </c>
      <c r="I1506" s="3">
        <v>0.375</v>
      </c>
      <c r="J1506" s="4"/>
      <c r="K1506" s="4"/>
      <c r="L1506" s="4"/>
      <c r="M1506" s="4"/>
      <c r="N1506" s="4"/>
      <c r="O1506" s="4"/>
      <c r="P1506" s="4"/>
    </row>
    <row r="1507" spans="1:16" x14ac:dyDescent="0.25">
      <c r="A1507" s="4" t="s">
        <v>232</v>
      </c>
      <c r="B1507" s="4" t="s">
        <v>25</v>
      </c>
      <c r="C1507" s="4" t="s">
        <v>25</v>
      </c>
      <c r="D1507" s="4" t="s">
        <v>25</v>
      </c>
      <c r="E1507" s="4" t="s">
        <v>25</v>
      </c>
      <c r="F1507" s="4" t="s">
        <v>25</v>
      </c>
      <c r="G1507" s="4" t="s">
        <v>25</v>
      </c>
      <c r="H1507" s="4"/>
      <c r="I1507" s="4"/>
      <c r="J1507" s="4"/>
      <c r="K1507" s="4"/>
      <c r="L1507" s="4"/>
      <c r="M1507" s="4"/>
      <c r="N1507" s="4"/>
      <c r="O1507" s="4"/>
      <c r="P1507" s="4"/>
    </row>
    <row r="1508" spans="1:16" x14ac:dyDescent="0.25">
      <c r="A1508" s="4" t="s">
        <v>233</v>
      </c>
      <c r="B1508" s="4" t="s">
        <v>25</v>
      </c>
      <c r="C1508" s="4" t="s">
        <v>25</v>
      </c>
      <c r="D1508" s="4" t="s">
        <v>25</v>
      </c>
      <c r="E1508" s="4" t="s">
        <v>25</v>
      </c>
      <c r="F1508" s="4" t="s">
        <v>25</v>
      </c>
      <c r="G1508" s="4" t="s">
        <v>25</v>
      </c>
      <c r="H1508" s="4"/>
      <c r="I1508" s="4"/>
      <c r="J1508" s="4"/>
      <c r="K1508" s="4"/>
      <c r="L1508" s="4"/>
      <c r="M1508" s="4"/>
      <c r="N1508" s="4"/>
      <c r="O1508" s="4"/>
      <c r="P1508" s="4"/>
    </row>
    <row r="1509" spans="1:16" x14ac:dyDescent="0.25">
      <c r="A1509" s="4" t="s">
        <v>234</v>
      </c>
      <c r="B1509" s="3">
        <v>0.38194444444444442</v>
      </c>
      <c r="C1509" s="3">
        <v>0.53194444444444444</v>
      </c>
      <c r="D1509" s="3">
        <v>0.57013888888888886</v>
      </c>
      <c r="E1509" s="3">
        <v>0.75138888888888899</v>
      </c>
      <c r="F1509" s="4"/>
      <c r="G1509" s="4"/>
      <c r="H1509" s="3">
        <v>0.33333333333333331</v>
      </c>
      <c r="I1509" s="3">
        <v>0.33333333333333331</v>
      </c>
      <c r="J1509" s="4"/>
      <c r="K1509" s="4"/>
      <c r="L1509" s="4"/>
      <c r="M1509" s="4"/>
      <c r="N1509" s="4"/>
      <c r="O1509" s="4"/>
      <c r="P1509" s="4"/>
    </row>
    <row r="1510" spans="1:16" x14ac:dyDescent="0.25">
      <c r="A1510" s="4" t="s">
        <v>235</v>
      </c>
      <c r="B1510" s="3">
        <v>0.37013888888888885</v>
      </c>
      <c r="C1510" s="3">
        <v>0.5444444444444444</v>
      </c>
      <c r="D1510" s="3">
        <v>0.58194444444444449</v>
      </c>
      <c r="E1510" s="3">
        <v>0.79236111111111107</v>
      </c>
      <c r="F1510" s="4"/>
      <c r="G1510" s="4"/>
      <c r="H1510" s="3">
        <v>0.375</v>
      </c>
      <c r="I1510" s="3">
        <v>0.375</v>
      </c>
      <c r="J1510" s="4"/>
      <c r="K1510" s="4"/>
      <c r="L1510" s="4"/>
      <c r="M1510" s="4"/>
      <c r="N1510" s="4"/>
      <c r="O1510" s="4"/>
      <c r="P1510" s="3">
        <v>9.0277777777777787E-3</v>
      </c>
    </row>
    <row r="1511" spans="1:16" x14ac:dyDescent="0.25">
      <c r="A1511" s="4" t="s">
        <v>236</v>
      </c>
      <c r="B1511" s="3">
        <v>0.38819444444444445</v>
      </c>
      <c r="C1511" s="3">
        <v>0.5229166666666667</v>
      </c>
      <c r="D1511" s="3">
        <v>0.56388888888888888</v>
      </c>
      <c r="E1511" s="3">
        <v>0.80555555555555547</v>
      </c>
      <c r="F1511" s="4"/>
      <c r="G1511" s="4"/>
      <c r="H1511" s="3">
        <v>0.375</v>
      </c>
      <c r="I1511" s="3">
        <v>0.375</v>
      </c>
      <c r="J1511" s="4"/>
      <c r="K1511" s="4"/>
      <c r="L1511" s="4"/>
      <c r="M1511" s="4"/>
      <c r="N1511" s="4"/>
      <c r="O1511" s="4"/>
      <c r="P1511" s="4"/>
    </row>
    <row r="1512" spans="1:16" x14ac:dyDescent="0.25">
      <c r="A1512" s="4" t="s">
        <v>237</v>
      </c>
      <c r="B1512" s="3">
        <v>0.38194444444444442</v>
      </c>
      <c r="C1512" s="3">
        <v>0.54236111111111118</v>
      </c>
      <c r="D1512" s="3">
        <v>0.57986111111111105</v>
      </c>
      <c r="E1512" s="3">
        <v>0.79513888888888884</v>
      </c>
      <c r="F1512" s="4"/>
      <c r="G1512" s="4"/>
      <c r="H1512" s="3">
        <v>0.375</v>
      </c>
      <c r="I1512" s="3">
        <v>0.375</v>
      </c>
      <c r="J1512" s="4"/>
      <c r="K1512" s="4"/>
      <c r="L1512" s="4"/>
      <c r="M1512" s="4"/>
      <c r="N1512" s="4"/>
      <c r="O1512" s="4"/>
      <c r="P1512" s="4"/>
    </row>
    <row r="1513" spans="1:16" x14ac:dyDescent="0.25">
      <c r="A1513" s="4" t="s">
        <v>238</v>
      </c>
      <c r="B1513" s="3">
        <v>0.3888888888888889</v>
      </c>
      <c r="C1513" s="3">
        <v>0.54236111111111118</v>
      </c>
      <c r="D1513" s="3">
        <v>0.5805555555555556</v>
      </c>
      <c r="E1513" s="3">
        <v>0.80694444444444446</v>
      </c>
      <c r="F1513" s="4"/>
      <c r="G1513" s="4"/>
      <c r="H1513" s="3">
        <v>0.375</v>
      </c>
      <c r="I1513" s="3">
        <v>0.375</v>
      </c>
      <c r="J1513" s="4"/>
      <c r="K1513" s="4"/>
      <c r="L1513" s="4"/>
      <c r="M1513" s="4"/>
      <c r="N1513" s="4"/>
      <c r="O1513" s="4"/>
      <c r="P1513" s="4"/>
    </row>
    <row r="1514" spans="1:16" x14ac:dyDescent="0.25">
      <c r="A1514" s="4" t="s">
        <v>239</v>
      </c>
      <c r="B1514" s="4" t="s">
        <v>25</v>
      </c>
      <c r="C1514" s="4" t="s">
        <v>25</v>
      </c>
      <c r="D1514" s="4" t="s">
        <v>25</v>
      </c>
      <c r="E1514" s="4" t="s">
        <v>25</v>
      </c>
      <c r="F1514" s="4" t="s">
        <v>25</v>
      </c>
      <c r="G1514" s="4" t="s">
        <v>25</v>
      </c>
      <c r="H1514" s="4"/>
      <c r="I1514" s="4"/>
      <c r="J1514" s="4"/>
      <c r="K1514" s="4"/>
      <c r="L1514" s="4"/>
      <c r="M1514" s="4"/>
      <c r="N1514" s="4"/>
      <c r="O1514" s="4"/>
      <c r="P1514" s="4"/>
    </row>
    <row r="1515" spans="1:16" x14ac:dyDescent="0.25">
      <c r="A1515" s="4" t="s">
        <v>240</v>
      </c>
      <c r="B1515" s="4" t="s">
        <v>25</v>
      </c>
      <c r="C1515" s="4" t="s">
        <v>25</v>
      </c>
      <c r="D1515" s="4" t="s">
        <v>25</v>
      </c>
      <c r="E1515" s="4" t="s">
        <v>25</v>
      </c>
      <c r="F1515" s="4" t="s">
        <v>25</v>
      </c>
      <c r="G1515" s="4" t="s">
        <v>25</v>
      </c>
      <c r="H1515" s="4"/>
      <c r="I1515" s="4"/>
      <c r="J1515" s="4"/>
      <c r="K1515" s="4"/>
      <c r="L1515" s="4"/>
      <c r="M1515" s="4"/>
      <c r="N1515" s="4"/>
      <c r="O1515" s="4"/>
      <c r="P1515" s="4"/>
    </row>
    <row r="1516" spans="1:16" x14ac:dyDescent="0.25">
      <c r="A1516" s="4" t="s">
        <v>241</v>
      </c>
      <c r="B1516" s="3">
        <v>0.37777777777777777</v>
      </c>
      <c r="C1516" s="3">
        <v>0.54027777777777775</v>
      </c>
      <c r="D1516" s="3">
        <v>0.58124999999999993</v>
      </c>
      <c r="E1516" s="3">
        <v>0.75138888888888899</v>
      </c>
      <c r="F1516" s="4"/>
      <c r="G1516" s="4"/>
      <c r="H1516" s="3">
        <v>0.33333333333333331</v>
      </c>
      <c r="I1516" s="3">
        <v>0.33333333333333331</v>
      </c>
      <c r="J1516" s="4"/>
      <c r="K1516" s="4"/>
      <c r="L1516" s="4"/>
      <c r="M1516" s="4"/>
      <c r="N1516" s="4"/>
      <c r="O1516" s="4"/>
      <c r="P1516" s="4"/>
    </row>
    <row r="1517" spans="1:16" x14ac:dyDescent="0.25">
      <c r="A1517" s="4" t="s">
        <v>242</v>
      </c>
      <c r="B1517" s="3">
        <v>0.38263888888888892</v>
      </c>
      <c r="C1517" s="3">
        <v>0.54097222222222219</v>
      </c>
      <c r="D1517" s="3">
        <v>0.58263888888888882</v>
      </c>
      <c r="E1517" s="3">
        <v>0.7993055555555556</v>
      </c>
      <c r="F1517" s="4"/>
      <c r="G1517" s="4"/>
      <c r="H1517" s="3">
        <v>0.375</v>
      </c>
      <c r="I1517" s="3">
        <v>0.375</v>
      </c>
      <c r="J1517" s="4"/>
      <c r="K1517" s="4"/>
      <c r="L1517" s="4"/>
      <c r="M1517" s="4"/>
      <c r="N1517" s="4"/>
      <c r="O1517" s="4"/>
      <c r="P1517" s="4"/>
    </row>
    <row r="1518" spans="1:16" x14ac:dyDescent="0.25">
      <c r="A1518" s="4" t="s">
        <v>243</v>
      </c>
      <c r="B1518" s="3">
        <v>0.38263888888888892</v>
      </c>
      <c r="C1518" s="3">
        <v>0.57152777777777775</v>
      </c>
      <c r="D1518" s="3">
        <v>0.61944444444444446</v>
      </c>
      <c r="E1518" s="3">
        <v>0.7993055555555556</v>
      </c>
      <c r="F1518" s="4"/>
      <c r="G1518" s="4"/>
      <c r="H1518" s="3">
        <v>0.375</v>
      </c>
      <c r="I1518" s="3">
        <v>0.375</v>
      </c>
      <c r="J1518" s="4"/>
      <c r="K1518" s="4"/>
      <c r="L1518" s="4"/>
      <c r="M1518" s="4"/>
      <c r="N1518" s="4"/>
      <c r="O1518" s="4"/>
      <c r="P1518" s="4"/>
    </row>
    <row r="1519" spans="1:16" x14ac:dyDescent="0.25">
      <c r="A1519" s="4" t="s">
        <v>244</v>
      </c>
      <c r="B1519" s="4" t="s">
        <v>265</v>
      </c>
      <c r="C1519" s="4" t="s">
        <v>265</v>
      </c>
      <c r="D1519" s="4" t="s">
        <v>265</v>
      </c>
      <c r="E1519" s="4" t="s">
        <v>265</v>
      </c>
      <c r="F1519" s="4"/>
      <c r="G1519" s="4"/>
      <c r="H1519" s="4"/>
      <c r="I1519" s="4"/>
      <c r="J1519" s="4"/>
      <c r="K1519" s="4"/>
      <c r="L1519" s="4"/>
      <c r="M1519" s="4"/>
      <c r="N1519" s="4"/>
      <c r="O1519" s="4"/>
      <c r="P1519" s="4"/>
    </row>
    <row r="1520" spans="1:16" x14ac:dyDescent="0.25">
      <c r="A1520" s="4" t="s">
        <v>245</v>
      </c>
      <c r="B1520" s="4" t="s">
        <v>52</v>
      </c>
      <c r="C1520" s="4" t="s">
        <v>52</v>
      </c>
      <c r="D1520" s="4" t="s">
        <v>52</v>
      </c>
      <c r="E1520" s="4" t="s">
        <v>52</v>
      </c>
      <c r="F1520" s="4"/>
      <c r="G1520" s="4"/>
      <c r="H1520" s="3">
        <v>0.375</v>
      </c>
      <c r="I1520" s="3">
        <v>0.375</v>
      </c>
      <c r="J1520" s="3">
        <v>0.375</v>
      </c>
      <c r="K1520" s="4"/>
      <c r="L1520" s="4"/>
      <c r="M1520" s="4"/>
      <c r="N1520" s="4"/>
      <c r="O1520" s="4"/>
      <c r="P1520" s="4"/>
    </row>
    <row r="1521" spans="1:16" x14ac:dyDescent="0.25">
      <c r="A1521" s="4" t="s">
        <v>246</v>
      </c>
      <c r="B1521" s="4" t="s">
        <v>25</v>
      </c>
      <c r="C1521" s="4" t="s">
        <v>25</v>
      </c>
      <c r="D1521" s="4" t="s">
        <v>25</v>
      </c>
      <c r="E1521" s="4" t="s">
        <v>25</v>
      </c>
      <c r="F1521" s="4" t="s">
        <v>25</v>
      </c>
      <c r="G1521" s="4" t="s">
        <v>25</v>
      </c>
      <c r="H1521" s="4"/>
      <c r="I1521" s="4"/>
      <c r="J1521" s="4"/>
      <c r="K1521" s="4"/>
      <c r="L1521" s="4"/>
      <c r="M1521" s="4"/>
      <c r="N1521" s="4"/>
      <c r="O1521" s="4"/>
      <c r="P1521" s="4"/>
    </row>
    <row r="1522" spans="1:16" x14ac:dyDescent="0.25">
      <c r="A1522" s="4" t="s">
        <v>247</v>
      </c>
      <c r="B1522" s="4" t="s">
        <v>25</v>
      </c>
      <c r="C1522" s="4" t="s">
        <v>25</v>
      </c>
      <c r="D1522" s="4" t="s">
        <v>25</v>
      </c>
      <c r="E1522" s="4" t="s">
        <v>25</v>
      </c>
      <c r="F1522" s="4" t="s">
        <v>25</v>
      </c>
      <c r="G1522" s="4" t="s">
        <v>25</v>
      </c>
      <c r="H1522" s="4"/>
      <c r="I1522" s="4"/>
      <c r="J1522" s="4"/>
      <c r="K1522" s="4"/>
      <c r="L1522" s="4"/>
      <c r="M1522" s="4"/>
      <c r="N1522" s="4"/>
      <c r="O1522" s="4"/>
      <c r="P1522" s="4"/>
    </row>
    <row r="1523" spans="1:16" x14ac:dyDescent="0.25">
      <c r="A1523" s="4" t="s">
        <v>248</v>
      </c>
      <c r="B1523" s="3">
        <v>0.38263888888888892</v>
      </c>
      <c r="C1523" s="3">
        <v>0.51388888888888895</v>
      </c>
      <c r="D1523" s="3">
        <v>0.55625000000000002</v>
      </c>
      <c r="E1523" s="3">
        <v>0.7583333333333333</v>
      </c>
      <c r="F1523" s="4"/>
      <c r="G1523" s="4"/>
      <c r="H1523" s="3">
        <v>0.33333333333333331</v>
      </c>
      <c r="I1523" s="3">
        <v>0.33333333333333331</v>
      </c>
      <c r="J1523" s="4"/>
      <c r="K1523" s="4"/>
      <c r="L1523" s="4"/>
      <c r="M1523" s="4"/>
      <c r="N1523" s="4"/>
      <c r="O1523" s="4"/>
      <c r="P1523" s="4"/>
    </row>
    <row r="1524" spans="1:16" x14ac:dyDescent="0.25">
      <c r="A1524" s="4" t="s">
        <v>249</v>
      </c>
      <c r="B1524" s="3">
        <v>0.39513888888888887</v>
      </c>
      <c r="C1524" s="3">
        <v>0.54305555555555551</v>
      </c>
      <c r="D1524" s="3">
        <v>0.5854166666666667</v>
      </c>
      <c r="E1524" s="4" t="s">
        <v>52</v>
      </c>
      <c r="F1524" s="4"/>
      <c r="G1524" s="4"/>
      <c r="H1524" s="3">
        <v>0.375</v>
      </c>
      <c r="I1524" s="3">
        <v>0.375</v>
      </c>
      <c r="J1524" s="3">
        <v>0.22708333333333333</v>
      </c>
      <c r="K1524" s="4"/>
      <c r="L1524" s="4"/>
      <c r="M1524" s="4"/>
      <c r="N1524" s="4"/>
      <c r="O1524" s="4"/>
      <c r="P1524" s="4"/>
    </row>
    <row r="1525" spans="1:16" x14ac:dyDescent="0.25">
      <c r="A1525" s="4" t="s">
        <v>251</v>
      </c>
      <c r="B1525" s="4" t="s">
        <v>52</v>
      </c>
      <c r="C1525" s="4" t="s">
        <v>52</v>
      </c>
      <c r="D1525" s="4" t="s">
        <v>52</v>
      </c>
      <c r="E1525" s="4" t="s">
        <v>52</v>
      </c>
      <c r="F1525" s="4"/>
      <c r="G1525" s="4"/>
      <c r="H1525" s="3">
        <v>0.375</v>
      </c>
      <c r="I1525" s="3">
        <v>0.375</v>
      </c>
      <c r="J1525" s="3">
        <v>0.375</v>
      </c>
      <c r="K1525" s="4"/>
      <c r="L1525" s="4"/>
      <c r="M1525" s="4"/>
      <c r="N1525" s="4"/>
      <c r="O1525" s="4"/>
      <c r="P1525" s="4"/>
    </row>
    <row r="1526" spans="1:16" x14ac:dyDescent="0.25">
      <c r="A1526" s="4" t="s">
        <v>256</v>
      </c>
      <c r="B1526" s="4" t="s">
        <v>51</v>
      </c>
      <c r="C1526" s="4" t="s">
        <v>51</v>
      </c>
      <c r="D1526" s="4" t="s">
        <v>51</v>
      </c>
      <c r="E1526" s="4" t="s">
        <v>51</v>
      </c>
      <c r="F1526" s="4"/>
      <c r="G1526" s="4"/>
      <c r="H1526" s="3">
        <v>0.375</v>
      </c>
      <c r="I1526" s="3">
        <v>0.375</v>
      </c>
      <c r="J1526" s="3">
        <v>0.375</v>
      </c>
      <c r="K1526" s="4"/>
      <c r="L1526" s="4"/>
      <c r="M1526" s="4"/>
      <c r="N1526" s="4"/>
      <c r="O1526" s="4"/>
      <c r="P1526" s="4"/>
    </row>
    <row r="1527" spans="1:16" x14ac:dyDescent="0.25">
      <c r="A1527" s="4" t="s">
        <v>259</v>
      </c>
      <c r="B1527" s="3">
        <v>0.37847222222222227</v>
      </c>
      <c r="C1527" s="3">
        <v>0.51111111111111118</v>
      </c>
      <c r="D1527" s="3">
        <v>0.55277777777777781</v>
      </c>
      <c r="E1527" s="3">
        <v>0.7944444444444444</v>
      </c>
      <c r="F1527" s="4"/>
      <c r="G1527" s="4"/>
      <c r="H1527" s="3">
        <v>0.375</v>
      </c>
      <c r="I1527" s="3">
        <v>0.375</v>
      </c>
      <c r="J1527" s="4"/>
      <c r="K1527" s="4"/>
      <c r="L1527" s="4"/>
      <c r="M1527" s="4"/>
      <c r="N1527" s="4"/>
      <c r="O1527" s="4"/>
      <c r="P1527" s="4"/>
    </row>
    <row r="1528" spans="1:16" x14ac:dyDescent="0.25">
      <c r="A1528" s="4" t="s">
        <v>260</v>
      </c>
      <c r="B1528" s="4" t="s">
        <v>25</v>
      </c>
      <c r="C1528" s="4" t="s">
        <v>25</v>
      </c>
      <c r="D1528" s="4" t="s">
        <v>25</v>
      </c>
      <c r="E1528" s="4" t="s">
        <v>25</v>
      </c>
      <c r="F1528" s="4" t="s">
        <v>25</v>
      </c>
      <c r="G1528" s="4" t="s">
        <v>25</v>
      </c>
      <c r="H1528" s="4"/>
      <c r="I1528" s="4"/>
      <c r="J1528" s="4"/>
      <c r="K1528" s="4"/>
      <c r="L1528" s="4"/>
      <c r="M1528" s="4"/>
      <c r="N1528" s="4"/>
      <c r="O1528" s="4"/>
      <c r="P1528" s="4"/>
    </row>
    <row r="1529" spans="1:16" x14ac:dyDescent="0.25">
      <c r="A1529" s="4" t="s">
        <v>261</v>
      </c>
      <c r="B1529" s="4" t="s">
        <v>25</v>
      </c>
      <c r="C1529" s="4" t="s">
        <v>25</v>
      </c>
      <c r="D1529" s="4" t="s">
        <v>25</v>
      </c>
      <c r="E1529" s="4" t="s">
        <v>25</v>
      </c>
      <c r="F1529" s="4" t="s">
        <v>25</v>
      </c>
      <c r="G1529" s="4" t="s">
        <v>25</v>
      </c>
      <c r="H1529" s="4"/>
      <c r="I1529" s="4"/>
      <c r="J1529" s="4"/>
      <c r="K1529" s="4"/>
      <c r="L1529" s="4"/>
      <c r="M1529" s="4"/>
      <c r="N1529" s="4"/>
      <c r="O1529" s="4"/>
      <c r="P1529" s="4"/>
    </row>
    <row r="1530" spans="1:16" x14ac:dyDescent="0.25">
      <c r="A1530" s="4" t="s">
        <v>262</v>
      </c>
      <c r="B1530" s="3">
        <v>0.37083333333333335</v>
      </c>
      <c r="C1530" s="3">
        <v>0.54166666666666663</v>
      </c>
      <c r="D1530" s="3">
        <v>0.58888888888888891</v>
      </c>
      <c r="E1530" s="3">
        <v>0.74930555555555556</v>
      </c>
      <c r="F1530" s="4"/>
      <c r="G1530" s="4"/>
      <c r="H1530" s="3">
        <v>0.33333333333333331</v>
      </c>
      <c r="I1530" s="3">
        <v>0.33333333333333331</v>
      </c>
      <c r="J1530" s="4"/>
      <c r="K1530" s="4"/>
      <c r="L1530" s="4"/>
      <c r="M1530" s="4"/>
      <c r="N1530" s="4"/>
      <c r="O1530" s="4"/>
      <c r="P1530" s="4"/>
    </row>
    <row r="1531" spans="1:16" x14ac:dyDescent="0.25">
      <c r="A1531" s="4" t="s">
        <v>263</v>
      </c>
      <c r="B1531" s="3">
        <v>0.37361111111111112</v>
      </c>
      <c r="C1531" s="3">
        <v>0.54166666666666663</v>
      </c>
      <c r="D1531" s="3">
        <v>0.58263888888888882</v>
      </c>
      <c r="E1531" s="3">
        <v>0.79375000000000007</v>
      </c>
      <c r="F1531" s="4"/>
      <c r="G1531" s="4"/>
      <c r="H1531" s="3">
        <v>0.375</v>
      </c>
      <c r="I1531" s="3">
        <v>0.375</v>
      </c>
      <c r="J1531" s="4"/>
      <c r="K1531" s="4"/>
      <c r="L1531" s="4"/>
      <c r="M1531" s="4"/>
      <c r="N1531" s="4"/>
      <c r="O1531" s="4"/>
      <c r="P1531" s="4"/>
    </row>
    <row r="1532" spans="1:16" x14ac:dyDescent="0.25">
      <c r="A1532" s="4" t="s">
        <v>264</v>
      </c>
      <c r="B1532" s="3">
        <v>0.3756944444444445</v>
      </c>
      <c r="C1532" s="3">
        <v>0.5625</v>
      </c>
      <c r="D1532" s="3">
        <v>0.61597222222222225</v>
      </c>
      <c r="E1532" s="3">
        <v>0.79513888888888884</v>
      </c>
      <c r="F1532" s="4"/>
      <c r="G1532" s="4"/>
      <c r="H1532" s="3">
        <v>0.375</v>
      </c>
      <c r="I1532" s="3">
        <v>0.36319444444444443</v>
      </c>
      <c r="J1532" s="4"/>
      <c r="K1532" s="4"/>
      <c r="L1532" s="4"/>
      <c r="M1532" s="4"/>
      <c r="N1532" s="4"/>
      <c r="O1532" s="3">
        <v>1.1805555555555555E-2</v>
      </c>
      <c r="P1532" s="4"/>
    </row>
    <row r="1534" spans="1:16" x14ac:dyDescent="0.25">
      <c r="A1534" s="7" t="s">
        <v>45</v>
      </c>
    </row>
    <row r="1537" spans="1:13" x14ac:dyDescent="0.25">
      <c r="A1537" s="7" t="s">
        <v>46</v>
      </c>
    </row>
    <row r="1538" spans="1:13" x14ac:dyDescent="0.25">
      <c r="A1538" s="7" t="s">
        <v>102</v>
      </c>
      <c r="F1538" s="7" t="s">
        <v>47</v>
      </c>
    </row>
    <row r="1539" spans="1:13" x14ac:dyDescent="0.25">
      <c r="F1539" s="7"/>
    </row>
    <row r="1543" spans="1:13" x14ac:dyDescent="0.25">
      <c r="G1543" s="1" t="s">
        <v>18</v>
      </c>
    </row>
    <row r="1544" spans="1:13" x14ac:dyDescent="0.25">
      <c r="A1544" s="1" t="s">
        <v>1</v>
      </c>
      <c r="B1544" t="s">
        <v>2</v>
      </c>
      <c r="H1544" s="1" t="s">
        <v>19</v>
      </c>
      <c r="I1544" s="1" t="s">
        <v>20</v>
      </c>
      <c r="J1544" s="1" t="s">
        <v>21</v>
      </c>
      <c r="K1544" s="1" t="s">
        <v>22</v>
      </c>
      <c r="L1544" s="1" t="s">
        <v>23</v>
      </c>
      <c r="M1544" s="1" t="s">
        <v>24</v>
      </c>
    </row>
    <row r="1545" spans="1:13" x14ac:dyDescent="0.25">
      <c r="A1545" s="1" t="s">
        <v>3</v>
      </c>
      <c r="B1545" t="s">
        <v>4</v>
      </c>
      <c r="G1545" s="1" t="s">
        <v>220</v>
      </c>
      <c r="H1545" s="3">
        <v>0.54166666666666663</v>
      </c>
      <c r="I1545" s="3">
        <v>0.79166666666666663</v>
      </c>
      <c r="J1545" s="3">
        <v>0.83333333333333337</v>
      </c>
      <c r="K1545" s="3">
        <v>0.91666666666666663</v>
      </c>
      <c r="L1545" s="4"/>
      <c r="M1545" s="4"/>
    </row>
    <row r="1546" spans="1:13" x14ac:dyDescent="0.25">
      <c r="A1546" s="1" t="s">
        <v>5</v>
      </c>
      <c r="B1546" t="s">
        <v>6</v>
      </c>
      <c r="G1546" s="1" t="s">
        <v>221</v>
      </c>
      <c r="H1546" s="3">
        <v>0.5</v>
      </c>
      <c r="I1546" s="3">
        <v>0.79166666666666663</v>
      </c>
      <c r="J1546" s="3">
        <v>0.83333333333333337</v>
      </c>
      <c r="K1546" s="3">
        <v>0.91666666666666663</v>
      </c>
      <c r="L1546" s="4"/>
      <c r="M1546" s="4"/>
    </row>
    <row r="1547" spans="1:13" x14ac:dyDescent="0.25">
      <c r="G1547" s="1" t="s">
        <v>222</v>
      </c>
      <c r="H1547" s="3">
        <v>0.5</v>
      </c>
      <c r="I1547" s="3">
        <v>0.79166666666666663</v>
      </c>
      <c r="J1547" s="3">
        <v>0.83333333333333337</v>
      </c>
      <c r="K1547" s="3">
        <v>0.91666666666666663</v>
      </c>
      <c r="L1547" s="4"/>
      <c r="M1547" s="4"/>
    </row>
    <row r="1548" spans="1:13" x14ac:dyDescent="0.25">
      <c r="A1548" s="1" t="s">
        <v>7</v>
      </c>
      <c r="B1548" t="s">
        <v>285</v>
      </c>
      <c r="G1548" s="1" t="s">
        <v>223</v>
      </c>
      <c r="H1548" s="3">
        <v>0.5</v>
      </c>
      <c r="I1548" s="3">
        <v>0.79166666666666663</v>
      </c>
      <c r="J1548" s="3">
        <v>0.83333333333333337</v>
      </c>
      <c r="K1548" s="3">
        <v>0.91666666666666663</v>
      </c>
      <c r="L1548" s="4"/>
      <c r="M1548" s="4"/>
    </row>
    <row r="1549" spans="1:13" x14ac:dyDescent="0.25">
      <c r="A1549" s="1" t="s">
        <v>9</v>
      </c>
      <c r="B1549" t="s">
        <v>286</v>
      </c>
      <c r="D1549" s="1" t="s">
        <v>11</v>
      </c>
      <c r="E1549" t="s">
        <v>286</v>
      </c>
      <c r="G1549" s="1" t="s">
        <v>224</v>
      </c>
      <c r="H1549" s="3">
        <v>0.5</v>
      </c>
      <c r="I1549" s="3">
        <v>0.79166666666666663</v>
      </c>
      <c r="J1549" s="3">
        <v>0.83333333333333337</v>
      </c>
      <c r="K1549" s="3">
        <v>0.91666666666666663</v>
      </c>
      <c r="L1549" s="4"/>
      <c r="M1549" s="4"/>
    </row>
    <row r="1550" spans="1:13" x14ac:dyDescent="0.25">
      <c r="A1550" s="1" t="s">
        <v>12</v>
      </c>
      <c r="D1550" s="1" t="s">
        <v>13</v>
      </c>
      <c r="E1550" s="2">
        <v>42996</v>
      </c>
      <c r="G1550" s="1" t="s">
        <v>225</v>
      </c>
      <c r="H1550" s="4" t="s">
        <v>25</v>
      </c>
      <c r="I1550" s="4" t="s">
        <v>25</v>
      </c>
      <c r="J1550" s="4" t="s">
        <v>25</v>
      </c>
      <c r="K1550" s="4" t="s">
        <v>25</v>
      </c>
      <c r="L1550" s="4" t="s">
        <v>25</v>
      </c>
      <c r="M1550" s="4" t="s">
        <v>25</v>
      </c>
    </row>
    <row r="1551" spans="1:13" x14ac:dyDescent="0.25">
      <c r="A1551" s="1" t="s">
        <v>14</v>
      </c>
      <c r="B1551" t="s">
        <v>58</v>
      </c>
      <c r="G1551" s="1" t="s">
        <v>226</v>
      </c>
      <c r="H1551" s="4" t="s">
        <v>25</v>
      </c>
      <c r="I1551" s="4" t="s">
        <v>25</v>
      </c>
      <c r="J1551" s="4" t="s">
        <v>25</v>
      </c>
      <c r="K1551" s="4" t="s">
        <v>25</v>
      </c>
      <c r="L1551" s="4" t="s">
        <v>25</v>
      </c>
      <c r="M1551" s="4" t="s">
        <v>25</v>
      </c>
    </row>
    <row r="1552" spans="1:13" x14ac:dyDescent="0.25">
      <c r="A1552" s="1" t="s">
        <v>16</v>
      </c>
      <c r="B1552" t="s">
        <v>281</v>
      </c>
    </row>
    <row r="1555" spans="1:16" x14ac:dyDescent="0.25">
      <c r="A1555" s="5" t="s">
        <v>26</v>
      </c>
      <c r="B1555" s="5" t="s">
        <v>27</v>
      </c>
      <c r="C1555" s="5" t="s">
        <v>28</v>
      </c>
      <c r="D1555" s="5" t="s">
        <v>29</v>
      </c>
      <c r="E1555" s="5" t="s">
        <v>30</v>
      </c>
      <c r="F1555" s="5" t="s">
        <v>31</v>
      </c>
      <c r="G1555" s="5" t="s">
        <v>32</v>
      </c>
      <c r="H1555" s="5" t="s">
        <v>33</v>
      </c>
      <c r="I1555" s="5" t="s">
        <v>34</v>
      </c>
      <c r="J1555" s="5" t="s">
        <v>35</v>
      </c>
      <c r="K1555" s="5" t="s">
        <v>36</v>
      </c>
      <c r="L1555" s="5" t="s">
        <v>37</v>
      </c>
      <c r="M1555" s="5" t="s">
        <v>38</v>
      </c>
      <c r="N1555" s="5" t="s">
        <v>39</v>
      </c>
      <c r="O1555" s="5" t="s">
        <v>40</v>
      </c>
      <c r="P1555" s="5" t="s">
        <v>41</v>
      </c>
    </row>
    <row r="1556" spans="1:16" x14ac:dyDescent="0.25">
      <c r="A1556" s="4"/>
      <c r="B1556" s="4"/>
      <c r="C1556" s="4"/>
      <c r="D1556" s="4"/>
      <c r="E1556" s="4"/>
      <c r="F1556" s="4"/>
      <c r="G1556" s="4"/>
      <c r="H1556" s="6">
        <v>1.0833333333333333</v>
      </c>
      <c r="I1556" s="6">
        <v>1.0833333333333333</v>
      </c>
      <c r="J1556" s="6">
        <v>1.0833333333333333</v>
      </c>
      <c r="K1556" s="3">
        <v>0</v>
      </c>
      <c r="L1556" s="3">
        <v>0</v>
      </c>
      <c r="M1556" s="6">
        <v>1.1111111111111112</v>
      </c>
      <c r="N1556" s="3">
        <v>0</v>
      </c>
      <c r="O1556" s="3">
        <v>0</v>
      </c>
      <c r="P1556" s="3">
        <v>0</v>
      </c>
    </row>
    <row r="1557" spans="1:16" x14ac:dyDescent="0.25">
      <c r="A1557" s="4" t="s">
        <v>227</v>
      </c>
      <c r="B1557" s="4"/>
      <c r="C1557" s="4"/>
      <c r="D1557" s="4"/>
      <c r="E1557" s="4"/>
      <c r="F1557" s="4"/>
      <c r="G1557" s="4"/>
      <c r="H1557" s="4"/>
      <c r="I1557" s="4"/>
      <c r="J1557" s="4"/>
      <c r="K1557" s="4"/>
      <c r="L1557" s="4"/>
      <c r="M1557" s="4"/>
      <c r="N1557" s="4"/>
      <c r="O1557" s="4"/>
      <c r="P1557" s="4"/>
    </row>
    <row r="1558" spans="1:16" x14ac:dyDescent="0.25">
      <c r="A1558" s="4" t="s">
        <v>228</v>
      </c>
      <c r="B1558" s="4"/>
      <c r="C1558" s="4"/>
      <c r="D1558" s="4"/>
      <c r="E1558" s="4"/>
      <c r="F1558" s="4"/>
      <c r="G1558" s="4"/>
      <c r="H1558" s="4"/>
      <c r="I1558" s="4"/>
      <c r="J1558" s="4"/>
      <c r="K1558" s="4"/>
      <c r="L1558" s="4"/>
      <c r="M1558" s="4"/>
      <c r="N1558" s="4"/>
      <c r="O1558" s="4"/>
      <c r="P1558" s="4"/>
    </row>
    <row r="1559" spans="1:16" x14ac:dyDescent="0.25">
      <c r="A1559" s="4" t="s">
        <v>229</v>
      </c>
      <c r="B1559" s="4"/>
      <c r="C1559" s="4"/>
      <c r="D1559" s="4"/>
      <c r="E1559" s="4"/>
      <c r="F1559" s="4"/>
      <c r="G1559" s="4"/>
      <c r="H1559" s="4"/>
      <c r="I1559" s="4"/>
      <c r="J1559" s="4"/>
      <c r="K1559" s="4"/>
      <c r="L1559" s="4"/>
      <c r="M1559" s="4"/>
      <c r="N1559" s="4"/>
      <c r="O1559" s="4"/>
      <c r="P1559" s="4"/>
    </row>
    <row r="1560" spans="1:16" x14ac:dyDescent="0.25">
      <c r="A1560" s="4" t="s">
        <v>230</v>
      </c>
      <c r="B1560" s="4"/>
      <c r="C1560" s="4"/>
      <c r="D1560" s="4"/>
      <c r="E1560" s="4"/>
      <c r="F1560" s="4"/>
      <c r="G1560" s="4"/>
      <c r="H1560" s="4"/>
      <c r="I1560" s="4"/>
      <c r="J1560" s="4"/>
      <c r="K1560" s="4"/>
      <c r="L1560" s="4"/>
      <c r="M1560" s="4"/>
      <c r="N1560" s="4"/>
      <c r="O1560" s="4"/>
      <c r="P1560" s="4"/>
    </row>
    <row r="1561" spans="1:16" x14ac:dyDescent="0.25">
      <c r="A1561" s="4" t="s">
        <v>231</v>
      </c>
      <c r="B1561" s="4"/>
      <c r="C1561" s="4"/>
      <c r="D1561" s="4"/>
      <c r="E1561" s="4"/>
      <c r="F1561" s="4"/>
      <c r="G1561" s="4"/>
      <c r="H1561" s="4"/>
      <c r="I1561" s="4"/>
      <c r="J1561" s="4"/>
      <c r="K1561" s="4"/>
      <c r="L1561" s="4"/>
      <c r="M1561" s="4"/>
      <c r="N1561" s="4"/>
      <c r="O1561" s="4"/>
      <c r="P1561" s="4"/>
    </row>
    <row r="1562" spans="1:16" x14ac:dyDescent="0.25">
      <c r="A1562" s="4" t="s">
        <v>232</v>
      </c>
      <c r="B1562" s="4"/>
      <c r="C1562" s="4"/>
      <c r="D1562" s="4"/>
      <c r="E1562" s="4"/>
      <c r="F1562" s="4"/>
      <c r="G1562" s="4"/>
      <c r="H1562" s="4"/>
      <c r="I1562" s="4"/>
      <c r="J1562" s="4"/>
      <c r="K1562" s="4"/>
      <c r="L1562" s="4"/>
      <c r="M1562" s="4"/>
      <c r="N1562" s="4"/>
      <c r="O1562" s="4"/>
      <c r="P1562" s="4"/>
    </row>
    <row r="1563" spans="1:16" x14ac:dyDescent="0.25">
      <c r="A1563" s="4" t="s">
        <v>233</v>
      </c>
      <c r="B1563" s="4"/>
      <c r="C1563" s="4"/>
      <c r="D1563" s="4"/>
      <c r="E1563" s="4"/>
      <c r="F1563" s="4"/>
      <c r="G1563" s="4"/>
      <c r="H1563" s="4"/>
      <c r="I1563" s="4"/>
      <c r="J1563" s="4"/>
      <c r="K1563" s="4"/>
      <c r="L1563" s="4"/>
      <c r="M1563" s="3">
        <v>0.27777777777777779</v>
      </c>
      <c r="N1563" s="4"/>
      <c r="O1563" s="4"/>
      <c r="P1563" s="4"/>
    </row>
    <row r="1564" spans="1:16" x14ac:dyDescent="0.25">
      <c r="A1564" s="4" t="s">
        <v>234</v>
      </c>
      <c r="B1564" s="4"/>
      <c r="C1564" s="4"/>
      <c r="D1564" s="4"/>
      <c r="E1564" s="4"/>
      <c r="F1564" s="4"/>
      <c r="G1564" s="4"/>
      <c r="H1564" s="4"/>
      <c r="I1564" s="4"/>
      <c r="J1564" s="4"/>
      <c r="K1564" s="4"/>
      <c r="L1564" s="4"/>
      <c r="M1564" s="4"/>
      <c r="N1564" s="4"/>
      <c r="O1564" s="4"/>
      <c r="P1564" s="4"/>
    </row>
    <row r="1565" spans="1:16" x14ac:dyDescent="0.25">
      <c r="A1565" s="4" t="s">
        <v>235</v>
      </c>
      <c r="B1565" s="4"/>
      <c r="C1565" s="4"/>
      <c r="D1565" s="4"/>
      <c r="E1565" s="4"/>
      <c r="F1565" s="4"/>
      <c r="G1565" s="4"/>
      <c r="H1565" s="4"/>
      <c r="I1565" s="4"/>
      <c r="J1565" s="4"/>
      <c r="K1565" s="4"/>
      <c r="L1565" s="4"/>
      <c r="M1565" s="4"/>
      <c r="N1565" s="4"/>
      <c r="O1565" s="4"/>
      <c r="P1565" s="4"/>
    </row>
    <row r="1566" spans="1:16" x14ac:dyDescent="0.25">
      <c r="A1566" s="4" t="s">
        <v>236</v>
      </c>
      <c r="B1566" s="4"/>
      <c r="C1566" s="4"/>
      <c r="D1566" s="4"/>
      <c r="E1566" s="4"/>
      <c r="F1566" s="4"/>
      <c r="G1566" s="4"/>
      <c r="H1566" s="4"/>
      <c r="I1566" s="4"/>
      <c r="J1566" s="4"/>
      <c r="K1566" s="4"/>
      <c r="L1566" s="4"/>
      <c r="M1566" s="4"/>
      <c r="N1566" s="4"/>
      <c r="O1566" s="4"/>
      <c r="P1566" s="4"/>
    </row>
    <row r="1567" spans="1:16" x14ac:dyDescent="0.25">
      <c r="A1567" s="4" t="s">
        <v>237</v>
      </c>
      <c r="B1567" s="4"/>
      <c r="C1567" s="4"/>
      <c r="D1567" s="4"/>
      <c r="E1567" s="4"/>
      <c r="F1567" s="4"/>
      <c r="G1567" s="4"/>
      <c r="H1567" s="4"/>
      <c r="I1567" s="4"/>
      <c r="J1567" s="4"/>
      <c r="K1567" s="4"/>
      <c r="L1567" s="4"/>
      <c r="M1567" s="4"/>
      <c r="N1567" s="4"/>
      <c r="O1567" s="4"/>
      <c r="P1567" s="4"/>
    </row>
    <row r="1568" spans="1:16" x14ac:dyDescent="0.25">
      <c r="A1568" s="4" t="s">
        <v>238</v>
      </c>
      <c r="B1568" s="4"/>
      <c r="C1568" s="4"/>
      <c r="D1568" s="4"/>
      <c r="E1568" s="4"/>
      <c r="F1568" s="4"/>
      <c r="G1568" s="4"/>
      <c r="H1568" s="4"/>
      <c r="I1568" s="4"/>
      <c r="J1568" s="4"/>
      <c r="K1568" s="4"/>
      <c r="L1568" s="4"/>
      <c r="M1568" s="4"/>
      <c r="N1568" s="4"/>
      <c r="O1568" s="4"/>
      <c r="P1568" s="4"/>
    </row>
    <row r="1569" spans="1:16" x14ac:dyDescent="0.25">
      <c r="A1569" s="4" t="s">
        <v>239</v>
      </c>
      <c r="B1569" s="4"/>
      <c r="C1569" s="4"/>
      <c r="D1569" s="4"/>
      <c r="E1569" s="4"/>
      <c r="F1569" s="4"/>
      <c r="G1569" s="4"/>
      <c r="H1569" s="4"/>
      <c r="I1569" s="4"/>
      <c r="J1569" s="4"/>
      <c r="K1569" s="4"/>
      <c r="L1569" s="4"/>
      <c r="M1569" s="4"/>
      <c r="N1569" s="4"/>
      <c r="O1569" s="4"/>
      <c r="P1569" s="4"/>
    </row>
    <row r="1570" spans="1:16" x14ac:dyDescent="0.25">
      <c r="A1570" s="4" t="s">
        <v>240</v>
      </c>
      <c r="B1570" s="4"/>
      <c r="C1570" s="4"/>
      <c r="D1570" s="4"/>
      <c r="E1570" s="4"/>
      <c r="F1570" s="4"/>
      <c r="G1570" s="4"/>
      <c r="H1570" s="4"/>
      <c r="I1570" s="4"/>
      <c r="J1570" s="4"/>
      <c r="K1570" s="4"/>
      <c r="L1570" s="4"/>
      <c r="M1570" s="3">
        <v>0.27777777777777779</v>
      </c>
      <c r="N1570" s="4"/>
      <c r="O1570" s="4"/>
      <c r="P1570" s="4"/>
    </row>
    <row r="1571" spans="1:16" x14ac:dyDescent="0.25">
      <c r="A1571" s="4" t="s">
        <v>241</v>
      </c>
      <c r="B1571" s="4"/>
      <c r="C1571" s="4"/>
      <c r="D1571" s="4"/>
      <c r="E1571" s="4"/>
      <c r="F1571" s="4"/>
      <c r="G1571" s="4"/>
      <c r="H1571" s="4"/>
      <c r="I1571" s="4"/>
      <c r="J1571" s="4"/>
      <c r="K1571" s="4"/>
      <c r="L1571" s="4"/>
      <c r="M1571" s="4"/>
      <c r="N1571" s="4"/>
      <c r="O1571" s="4"/>
      <c r="P1571" s="4"/>
    </row>
    <row r="1572" spans="1:16" x14ac:dyDescent="0.25">
      <c r="A1572" s="4" t="s">
        <v>242</v>
      </c>
      <c r="B1572" s="4"/>
      <c r="C1572" s="4"/>
      <c r="D1572" s="4"/>
      <c r="E1572" s="4"/>
      <c r="F1572" s="4"/>
      <c r="G1572" s="4"/>
      <c r="H1572" s="4"/>
      <c r="I1572" s="4"/>
      <c r="J1572" s="4"/>
      <c r="K1572" s="4"/>
      <c r="L1572" s="4"/>
      <c r="M1572" s="4"/>
      <c r="N1572" s="4"/>
      <c r="O1572" s="4"/>
      <c r="P1572" s="4"/>
    </row>
    <row r="1573" spans="1:16" x14ac:dyDescent="0.25">
      <c r="A1573" s="4" t="s">
        <v>243</v>
      </c>
      <c r="B1573" s="4"/>
      <c r="C1573" s="4"/>
      <c r="D1573" s="4"/>
      <c r="E1573" s="4"/>
      <c r="F1573" s="4"/>
      <c r="G1573" s="4"/>
      <c r="H1573" s="4"/>
      <c r="I1573" s="4"/>
      <c r="J1573" s="4"/>
      <c r="K1573" s="4"/>
      <c r="L1573" s="4"/>
      <c r="M1573" s="4"/>
      <c r="N1573" s="4"/>
      <c r="O1573" s="4"/>
      <c r="P1573" s="4"/>
    </row>
    <row r="1574" spans="1:16" x14ac:dyDescent="0.25">
      <c r="A1574" s="4" t="s">
        <v>244</v>
      </c>
      <c r="B1574" s="4" t="s">
        <v>265</v>
      </c>
      <c r="C1574" s="4" t="s">
        <v>265</v>
      </c>
      <c r="D1574" s="4" t="s">
        <v>265</v>
      </c>
      <c r="E1574" s="4" t="s">
        <v>265</v>
      </c>
      <c r="F1574" s="4" t="s">
        <v>265</v>
      </c>
      <c r="G1574" s="4" t="s">
        <v>265</v>
      </c>
      <c r="H1574" s="4"/>
      <c r="I1574" s="4"/>
      <c r="J1574" s="4"/>
      <c r="K1574" s="4"/>
      <c r="L1574" s="4"/>
      <c r="M1574" s="4"/>
      <c r="N1574" s="4"/>
      <c r="O1574" s="4"/>
      <c r="P1574" s="4"/>
    </row>
    <row r="1575" spans="1:16" x14ac:dyDescent="0.25">
      <c r="A1575" s="4" t="s">
        <v>245</v>
      </c>
      <c r="B1575" s="4"/>
      <c r="C1575" s="4"/>
      <c r="D1575" s="4"/>
      <c r="E1575" s="4"/>
      <c r="F1575" s="4"/>
      <c r="G1575" s="4"/>
      <c r="H1575" s="4"/>
      <c r="I1575" s="4"/>
      <c r="J1575" s="4"/>
      <c r="K1575" s="4"/>
      <c r="L1575" s="4"/>
      <c r="M1575" s="4"/>
      <c r="N1575" s="4"/>
      <c r="O1575" s="4"/>
      <c r="P1575" s="4"/>
    </row>
    <row r="1576" spans="1:16" x14ac:dyDescent="0.25">
      <c r="A1576" s="4" t="s">
        <v>246</v>
      </c>
      <c r="B1576" s="4"/>
      <c r="C1576" s="4"/>
      <c r="D1576" s="4"/>
      <c r="E1576" s="4"/>
      <c r="F1576" s="4"/>
      <c r="G1576" s="4"/>
      <c r="H1576" s="4"/>
      <c r="I1576" s="4"/>
      <c r="J1576" s="4"/>
      <c r="K1576" s="4"/>
      <c r="L1576" s="4"/>
      <c r="M1576" s="4"/>
      <c r="N1576" s="4"/>
      <c r="O1576" s="4"/>
      <c r="P1576" s="4"/>
    </row>
    <row r="1577" spans="1:16" x14ac:dyDescent="0.25">
      <c r="A1577" s="4" t="s">
        <v>247</v>
      </c>
      <c r="B1577" s="4"/>
      <c r="C1577" s="4"/>
      <c r="D1577" s="4"/>
      <c r="E1577" s="4"/>
      <c r="F1577" s="4"/>
      <c r="G1577" s="4"/>
      <c r="H1577" s="4"/>
      <c r="I1577" s="4"/>
      <c r="J1577" s="4"/>
      <c r="K1577" s="4"/>
      <c r="L1577" s="4"/>
      <c r="M1577" s="3">
        <v>0.27777777777777779</v>
      </c>
      <c r="N1577" s="4"/>
      <c r="O1577" s="4"/>
      <c r="P1577" s="4"/>
    </row>
    <row r="1578" spans="1:16" x14ac:dyDescent="0.25">
      <c r="A1578" s="4" t="s">
        <v>248</v>
      </c>
      <c r="B1578" s="4"/>
      <c r="C1578" s="4"/>
      <c r="D1578" s="4"/>
      <c r="E1578" s="4"/>
      <c r="F1578" s="4"/>
      <c r="G1578" s="4"/>
      <c r="H1578" s="4"/>
      <c r="I1578" s="4"/>
      <c r="J1578" s="4"/>
      <c r="K1578" s="4"/>
      <c r="L1578" s="4"/>
      <c r="M1578" s="4"/>
      <c r="N1578" s="4"/>
      <c r="O1578" s="4"/>
      <c r="P1578" s="4"/>
    </row>
    <row r="1579" spans="1:16" x14ac:dyDescent="0.25">
      <c r="A1579" s="4" t="s">
        <v>249</v>
      </c>
      <c r="B1579" s="4"/>
      <c r="C1579" s="4"/>
      <c r="D1579" s="4"/>
      <c r="E1579" s="4"/>
      <c r="F1579" s="4"/>
      <c r="G1579" s="4"/>
      <c r="H1579" s="4"/>
      <c r="I1579" s="4"/>
      <c r="J1579" s="4"/>
      <c r="K1579" s="4"/>
      <c r="L1579" s="4"/>
      <c r="M1579" s="4"/>
      <c r="N1579" s="4"/>
      <c r="O1579" s="4"/>
      <c r="P1579" s="4"/>
    </row>
    <row r="1580" spans="1:16" x14ac:dyDescent="0.25">
      <c r="A1580" s="4" t="s">
        <v>251</v>
      </c>
      <c r="B1580" s="4"/>
      <c r="C1580" s="4"/>
      <c r="D1580" s="4"/>
      <c r="E1580" s="4"/>
      <c r="F1580" s="4"/>
      <c r="G1580" s="4"/>
      <c r="H1580" s="4"/>
      <c r="I1580" s="4"/>
      <c r="J1580" s="4"/>
      <c r="K1580" s="4"/>
      <c r="L1580" s="4"/>
      <c r="M1580" s="4"/>
      <c r="N1580" s="4"/>
      <c r="O1580" s="4"/>
      <c r="P1580" s="4"/>
    </row>
    <row r="1581" spans="1:16" x14ac:dyDescent="0.25">
      <c r="A1581" s="4" t="s">
        <v>256</v>
      </c>
      <c r="B1581" s="4"/>
      <c r="C1581" s="4"/>
      <c r="D1581" s="4"/>
      <c r="E1581" s="4"/>
      <c r="F1581" s="4"/>
      <c r="G1581" s="4"/>
      <c r="H1581" s="4"/>
      <c r="I1581" s="4"/>
      <c r="J1581" s="4"/>
      <c r="K1581" s="4"/>
      <c r="L1581" s="4"/>
      <c r="M1581" s="4"/>
      <c r="N1581" s="4"/>
      <c r="O1581" s="4"/>
      <c r="P1581" s="4"/>
    </row>
    <row r="1582" spans="1:16" x14ac:dyDescent="0.25">
      <c r="A1582" s="4" t="s">
        <v>259</v>
      </c>
      <c r="B1582" s="4"/>
      <c r="C1582" s="4"/>
      <c r="D1582" s="4"/>
      <c r="E1582" s="4"/>
      <c r="F1582" s="4"/>
      <c r="G1582" s="4"/>
      <c r="H1582" s="4"/>
      <c r="I1582" s="4"/>
      <c r="J1582" s="4"/>
      <c r="K1582" s="4"/>
      <c r="L1582" s="4"/>
      <c r="M1582" s="4"/>
      <c r="N1582" s="4"/>
      <c r="O1582" s="4"/>
      <c r="P1582" s="4"/>
    </row>
    <row r="1583" spans="1:16" x14ac:dyDescent="0.25">
      <c r="A1583" s="4" t="s">
        <v>260</v>
      </c>
      <c r="B1583" s="4"/>
      <c r="C1583" s="4"/>
      <c r="D1583" s="4"/>
      <c r="E1583" s="4"/>
      <c r="F1583" s="4"/>
      <c r="G1583" s="4"/>
      <c r="H1583" s="4"/>
      <c r="I1583" s="4"/>
      <c r="J1583" s="4"/>
      <c r="K1583" s="4"/>
      <c r="L1583" s="4"/>
      <c r="M1583" s="4"/>
      <c r="N1583" s="4"/>
      <c r="O1583" s="4"/>
      <c r="P1583" s="4"/>
    </row>
    <row r="1584" spans="1:16" x14ac:dyDescent="0.25">
      <c r="A1584" s="4" t="s">
        <v>261</v>
      </c>
      <c r="B1584" s="4"/>
      <c r="C1584" s="4"/>
      <c r="D1584" s="4"/>
      <c r="E1584" s="4"/>
      <c r="F1584" s="4"/>
      <c r="G1584" s="4"/>
      <c r="H1584" s="4"/>
      <c r="I1584" s="4"/>
      <c r="J1584" s="4"/>
      <c r="K1584" s="4"/>
      <c r="L1584" s="4"/>
      <c r="M1584" s="3">
        <v>0.27777777777777779</v>
      </c>
      <c r="N1584" s="4"/>
      <c r="O1584" s="4"/>
      <c r="P1584" s="4"/>
    </row>
    <row r="1585" spans="1:16" x14ac:dyDescent="0.25">
      <c r="A1585" s="4" t="s">
        <v>262</v>
      </c>
      <c r="B1585" s="4" t="s">
        <v>52</v>
      </c>
      <c r="C1585" s="4" t="s">
        <v>52</v>
      </c>
      <c r="D1585" s="4" t="s">
        <v>52</v>
      </c>
      <c r="E1585" s="4" t="s">
        <v>52</v>
      </c>
      <c r="F1585" s="4"/>
      <c r="G1585" s="4"/>
      <c r="H1585" s="3">
        <v>0.33333333333333331</v>
      </c>
      <c r="I1585" s="3">
        <v>0.33333333333333331</v>
      </c>
      <c r="J1585" s="3">
        <v>0.33333333333333331</v>
      </c>
      <c r="K1585" s="4"/>
      <c r="L1585" s="4"/>
      <c r="M1585" s="4"/>
      <c r="N1585" s="4"/>
      <c r="O1585" s="4"/>
      <c r="P1585" s="4"/>
    </row>
    <row r="1586" spans="1:16" x14ac:dyDescent="0.25">
      <c r="A1586" s="4" t="s">
        <v>263</v>
      </c>
      <c r="B1586" s="4" t="s">
        <v>52</v>
      </c>
      <c r="C1586" s="4" t="s">
        <v>52</v>
      </c>
      <c r="D1586" s="4" t="s">
        <v>52</v>
      </c>
      <c r="E1586" s="4" t="s">
        <v>52</v>
      </c>
      <c r="F1586" s="4"/>
      <c r="G1586" s="4"/>
      <c r="H1586" s="3">
        <v>0.375</v>
      </c>
      <c r="I1586" s="3">
        <v>0.375</v>
      </c>
      <c r="J1586" s="3">
        <v>0.375</v>
      </c>
      <c r="K1586" s="4"/>
      <c r="L1586" s="4"/>
      <c r="M1586" s="4"/>
      <c r="N1586" s="4"/>
      <c r="O1586" s="4"/>
      <c r="P1586" s="4"/>
    </row>
    <row r="1587" spans="1:16" x14ac:dyDescent="0.25">
      <c r="A1587" s="4" t="s">
        <v>264</v>
      </c>
      <c r="B1587" s="4" t="s">
        <v>52</v>
      </c>
      <c r="C1587" s="4" t="s">
        <v>52</v>
      </c>
      <c r="D1587" s="4" t="s">
        <v>52</v>
      </c>
      <c r="E1587" s="4" t="s">
        <v>52</v>
      </c>
      <c r="F1587" s="4"/>
      <c r="G1587" s="4"/>
      <c r="H1587" s="3">
        <v>0.375</v>
      </c>
      <c r="I1587" s="3">
        <v>0.375</v>
      </c>
      <c r="J1587" s="3">
        <v>0.375</v>
      </c>
      <c r="K1587" s="4"/>
      <c r="L1587" s="4"/>
      <c r="M1587" s="4"/>
      <c r="N1587" s="4"/>
      <c r="O1587" s="4"/>
      <c r="P1587" s="4"/>
    </row>
    <row r="1589" spans="1:16" x14ac:dyDescent="0.25">
      <c r="A1589" s="7" t="s">
        <v>45</v>
      </c>
    </row>
    <row r="1592" spans="1:16" x14ac:dyDescent="0.25">
      <c r="A1592" s="7" t="s">
        <v>46</v>
      </c>
    </row>
    <row r="1593" spans="1:16" x14ac:dyDescent="0.25">
      <c r="A1593" s="7" t="s">
        <v>285</v>
      </c>
      <c r="F1593" s="7" t="s">
        <v>47</v>
      </c>
    </row>
    <row r="1594" spans="1:16" x14ac:dyDescent="0.25">
      <c r="F1594" s="7"/>
    </row>
    <row r="1598" spans="1:16" x14ac:dyDescent="0.25">
      <c r="G1598" s="1" t="s">
        <v>18</v>
      </c>
    </row>
    <row r="1599" spans="1:16" x14ac:dyDescent="0.25">
      <c r="A1599" s="1" t="s">
        <v>1</v>
      </c>
      <c r="B1599" t="s">
        <v>2</v>
      </c>
      <c r="H1599" s="1" t="s">
        <v>19</v>
      </c>
      <c r="I1599" s="1" t="s">
        <v>20</v>
      </c>
      <c r="J1599" s="1" t="s">
        <v>21</v>
      </c>
      <c r="K1599" s="1" t="s">
        <v>22</v>
      </c>
      <c r="L1599" s="1" t="s">
        <v>23</v>
      </c>
      <c r="M1599" s="1" t="s">
        <v>24</v>
      </c>
    </row>
    <row r="1600" spans="1:16" x14ac:dyDescent="0.25">
      <c r="A1600" s="1" t="s">
        <v>3</v>
      </c>
      <c r="B1600" t="s">
        <v>4</v>
      </c>
      <c r="G1600" s="1" t="s">
        <v>220</v>
      </c>
      <c r="H1600" s="3">
        <v>0.375</v>
      </c>
      <c r="I1600" s="3">
        <v>0.5</v>
      </c>
      <c r="J1600" s="3">
        <v>0.54166666666666663</v>
      </c>
      <c r="K1600" s="3">
        <v>0.75</v>
      </c>
      <c r="L1600" s="4"/>
      <c r="M1600" s="4"/>
    </row>
    <row r="1601" spans="1:16" x14ac:dyDescent="0.25">
      <c r="A1601" s="1" t="s">
        <v>5</v>
      </c>
      <c r="B1601" t="s">
        <v>6</v>
      </c>
      <c r="G1601" s="1" t="s">
        <v>221</v>
      </c>
      <c r="H1601" s="3">
        <v>0.375</v>
      </c>
      <c r="I1601" s="3">
        <v>0.5</v>
      </c>
      <c r="J1601" s="3">
        <v>0.54166666666666663</v>
      </c>
      <c r="K1601" s="3">
        <v>0.79166666666666663</v>
      </c>
      <c r="L1601" s="4"/>
      <c r="M1601" s="4"/>
    </row>
    <row r="1602" spans="1:16" x14ac:dyDescent="0.25">
      <c r="G1602" s="1" t="s">
        <v>222</v>
      </c>
      <c r="H1602" s="3">
        <v>0.375</v>
      </c>
      <c r="I1602" s="3">
        <v>0.5</v>
      </c>
      <c r="J1602" s="3">
        <v>0.54166666666666663</v>
      </c>
      <c r="K1602" s="3">
        <v>0.79166666666666663</v>
      </c>
      <c r="L1602" s="4"/>
      <c r="M1602" s="4"/>
    </row>
    <row r="1603" spans="1:16" x14ac:dyDescent="0.25">
      <c r="A1603" s="1" t="s">
        <v>7</v>
      </c>
      <c r="B1603" t="s">
        <v>104</v>
      </c>
      <c r="G1603" s="1" t="s">
        <v>223</v>
      </c>
      <c r="H1603" s="3">
        <v>0.375</v>
      </c>
      <c r="I1603" s="3">
        <v>0.5</v>
      </c>
      <c r="J1603" s="3">
        <v>0.54166666666666663</v>
      </c>
      <c r="K1603" s="3">
        <v>0.79166666666666663</v>
      </c>
      <c r="L1603" s="4"/>
      <c r="M1603" s="4"/>
    </row>
    <row r="1604" spans="1:16" x14ac:dyDescent="0.25">
      <c r="A1604" s="1" t="s">
        <v>9</v>
      </c>
      <c r="B1604" t="s">
        <v>105</v>
      </c>
      <c r="D1604" s="1" t="s">
        <v>11</v>
      </c>
      <c r="E1604" t="s">
        <v>105</v>
      </c>
      <c r="G1604" s="1" t="s">
        <v>224</v>
      </c>
      <c r="H1604" s="3">
        <v>0.375</v>
      </c>
      <c r="I1604" s="3">
        <v>0.5</v>
      </c>
      <c r="J1604" s="3">
        <v>0.54166666666666663</v>
      </c>
      <c r="K1604" s="3">
        <v>0.79166666666666663</v>
      </c>
      <c r="L1604" s="4"/>
      <c r="M1604" s="4"/>
    </row>
    <row r="1605" spans="1:16" x14ac:dyDescent="0.25">
      <c r="A1605" s="1" t="s">
        <v>12</v>
      </c>
      <c r="D1605" s="1" t="s">
        <v>13</v>
      </c>
      <c r="E1605" s="2">
        <v>42506</v>
      </c>
      <c r="G1605" s="1" t="s">
        <v>225</v>
      </c>
      <c r="H1605" s="4" t="s">
        <v>25</v>
      </c>
      <c r="I1605" s="4" t="s">
        <v>25</v>
      </c>
      <c r="J1605" s="4" t="s">
        <v>25</v>
      </c>
      <c r="K1605" s="4" t="s">
        <v>25</v>
      </c>
      <c r="L1605" s="4" t="s">
        <v>25</v>
      </c>
      <c r="M1605" s="4" t="s">
        <v>25</v>
      </c>
    </row>
    <row r="1606" spans="1:16" x14ac:dyDescent="0.25">
      <c r="A1606" s="1" t="s">
        <v>14</v>
      </c>
      <c r="B1606" t="s">
        <v>58</v>
      </c>
      <c r="G1606" s="1" t="s">
        <v>226</v>
      </c>
      <c r="H1606" s="4" t="s">
        <v>25</v>
      </c>
      <c r="I1606" s="4" t="s">
        <v>25</v>
      </c>
      <c r="J1606" s="4" t="s">
        <v>25</v>
      </c>
      <c r="K1606" s="4" t="s">
        <v>25</v>
      </c>
      <c r="L1606" s="4" t="s">
        <v>25</v>
      </c>
      <c r="M1606" s="4" t="s">
        <v>25</v>
      </c>
    </row>
    <row r="1607" spans="1:16" x14ac:dyDescent="0.25">
      <c r="A1607" s="1" t="s">
        <v>16</v>
      </c>
      <c r="B1607" t="s">
        <v>17</v>
      </c>
    </row>
    <row r="1610" spans="1:16" x14ac:dyDescent="0.25">
      <c r="A1610" s="5" t="s">
        <v>26</v>
      </c>
      <c r="B1610" s="5" t="s">
        <v>27</v>
      </c>
      <c r="C1610" s="5" t="s">
        <v>28</v>
      </c>
      <c r="D1610" s="5" t="s">
        <v>29</v>
      </c>
      <c r="E1610" s="5" t="s">
        <v>30</v>
      </c>
      <c r="F1610" s="5" t="s">
        <v>31</v>
      </c>
      <c r="G1610" s="5" t="s">
        <v>32</v>
      </c>
      <c r="H1610" s="5" t="s">
        <v>33</v>
      </c>
      <c r="I1610" s="5" t="s">
        <v>34</v>
      </c>
      <c r="J1610" s="5" t="s">
        <v>35</v>
      </c>
      <c r="K1610" s="5" t="s">
        <v>36</v>
      </c>
      <c r="L1610" s="5" t="s">
        <v>37</v>
      </c>
      <c r="M1610" s="5" t="s">
        <v>38</v>
      </c>
      <c r="N1610" s="5" t="s">
        <v>39</v>
      </c>
      <c r="O1610" s="5" t="s">
        <v>40</v>
      </c>
      <c r="P1610" s="5" t="s">
        <v>41</v>
      </c>
    </row>
    <row r="1611" spans="1:16" x14ac:dyDescent="0.25">
      <c r="A1611" s="4"/>
      <c r="B1611" s="4"/>
      <c r="C1611" s="4"/>
      <c r="D1611" s="4"/>
      <c r="E1611" s="4"/>
      <c r="F1611" s="4"/>
      <c r="G1611" s="4"/>
      <c r="H1611" s="6">
        <v>8.0416666666666661</v>
      </c>
      <c r="I1611" s="6">
        <v>8.0347222222222232</v>
      </c>
      <c r="J1611" s="6">
        <v>1.3479166666666667</v>
      </c>
      <c r="K1611" s="3">
        <v>0</v>
      </c>
      <c r="L1611" s="3">
        <v>0</v>
      </c>
      <c r="M1611" s="3">
        <v>0</v>
      </c>
      <c r="N1611" s="3">
        <v>0</v>
      </c>
      <c r="O1611" s="3">
        <v>6.9444444444444441E-3</v>
      </c>
      <c r="P1611" s="3">
        <v>0</v>
      </c>
    </row>
    <row r="1612" spans="1:16" x14ac:dyDescent="0.25">
      <c r="A1612" s="4" t="s">
        <v>227</v>
      </c>
      <c r="B1612" s="3">
        <v>0.39097222222222222</v>
      </c>
      <c r="C1612" s="3">
        <v>0.57222222222222219</v>
      </c>
      <c r="D1612" s="3">
        <v>0.61388888888888882</v>
      </c>
      <c r="E1612" s="3">
        <v>0.76527777777777783</v>
      </c>
      <c r="F1612" s="4"/>
      <c r="G1612" s="4"/>
      <c r="H1612" s="3">
        <v>0.33333333333333331</v>
      </c>
      <c r="I1612" s="3">
        <v>0.33333333333333331</v>
      </c>
      <c r="J1612" s="4"/>
      <c r="K1612" s="4"/>
      <c r="L1612" s="4"/>
      <c r="M1612" s="4"/>
      <c r="N1612" s="4"/>
      <c r="O1612" s="4"/>
      <c r="P1612" s="4"/>
    </row>
    <row r="1613" spans="1:16" x14ac:dyDescent="0.25">
      <c r="A1613" s="4" t="s">
        <v>228</v>
      </c>
      <c r="B1613" s="3">
        <v>0.39652777777777781</v>
      </c>
      <c r="C1613" s="3">
        <v>0.52013888888888882</v>
      </c>
      <c r="D1613" s="3">
        <v>0.56111111111111112</v>
      </c>
      <c r="E1613" s="3">
        <v>0.81319444444444444</v>
      </c>
      <c r="F1613" s="4"/>
      <c r="G1613" s="4"/>
      <c r="H1613" s="3">
        <v>0.375</v>
      </c>
      <c r="I1613" s="3">
        <v>0.375</v>
      </c>
      <c r="J1613" s="4"/>
      <c r="K1613" s="4"/>
      <c r="L1613" s="4"/>
      <c r="M1613" s="4"/>
      <c r="N1613" s="4"/>
      <c r="O1613" s="4"/>
      <c r="P1613" s="4"/>
    </row>
    <row r="1614" spans="1:16" x14ac:dyDescent="0.25">
      <c r="A1614" s="4" t="s">
        <v>229</v>
      </c>
      <c r="B1614" s="3">
        <v>0.39097222222222222</v>
      </c>
      <c r="C1614" s="3">
        <v>0.54305555555555551</v>
      </c>
      <c r="D1614" s="3">
        <v>0.58402777777777781</v>
      </c>
      <c r="E1614" s="3">
        <v>0.80763888888888891</v>
      </c>
      <c r="F1614" s="4"/>
      <c r="G1614" s="4"/>
      <c r="H1614" s="3">
        <v>0.375</v>
      </c>
      <c r="I1614" s="3">
        <v>0.375</v>
      </c>
      <c r="J1614" s="4"/>
      <c r="K1614" s="4"/>
      <c r="L1614" s="4"/>
      <c r="M1614" s="4"/>
      <c r="N1614" s="4"/>
      <c r="O1614" s="4"/>
      <c r="P1614" s="4"/>
    </row>
    <row r="1615" spans="1:16" x14ac:dyDescent="0.25">
      <c r="A1615" s="4" t="s">
        <v>230</v>
      </c>
      <c r="B1615" s="3">
        <v>0.38750000000000001</v>
      </c>
      <c r="C1615" s="3">
        <v>0.54999999999999993</v>
      </c>
      <c r="D1615" s="3">
        <v>0.59166666666666667</v>
      </c>
      <c r="E1615" s="3">
        <v>0.80208333333333337</v>
      </c>
      <c r="F1615" s="4"/>
      <c r="G1615" s="4"/>
      <c r="H1615" s="3">
        <v>0.375</v>
      </c>
      <c r="I1615" s="3">
        <v>0.375</v>
      </c>
      <c r="J1615" s="4"/>
      <c r="K1615" s="4"/>
      <c r="L1615" s="4"/>
      <c r="M1615" s="4"/>
      <c r="N1615" s="4"/>
      <c r="O1615" s="4"/>
      <c r="P1615" s="4"/>
    </row>
    <row r="1616" spans="1:16" x14ac:dyDescent="0.25">
      <c r="A1616" s="4" t="s">
        <v>231</v>
      </c>
      <c r="B1616" s="3">
        <v>0.38263888888888892</v>
      </c>
      <c r="C1616" s="3">
        <v>0.55763888888888891</v>
      </c>
      <c r="D1616" s="3">
        <v>0.59861111111111109</v>
      </c>
      <c r="E1616" s="3">
        <v>0.80347222222222225</v>
      </c>
      <c r="F1616" s="4"/>
      <c r="G1616" s="4"/>
      <c r="H1616" s="3">
        <v>0.375</v>
      </c>
      <c r="I1616" s="3">
        <v>0.375</v>
      </c>
      <c r="J1616" s="4"/>
      <c r="K1616" s="4"/>
      <c r="L1616" s="4"/>
      <c r="M1616" s="4"/>
      <c r="N1616" s="4"/>
      <c r="O1616" s="4"/>
      <c r="P1616" s="4"/>
    </row>
    <row r="1617" spans="1:16" x14ac:dyDescent="0.25">
      <c r="A1617" s="4" t="s">
        <v>232</v>
      </c>
      <c r="B1617" s="4" t="s">
        <v>25</v>
      </c>
      <c r="C1617" s="4" t="s">
        <v>25</v>
      </c>
      <c r="D1617" s="4" t="s">
        <v>25</v>
      </c>
      <c r="E1617" s="4" t="s">
        <v>25</v>
      </c>
      <c r="F1617" s="4" t="s">
        <v>25</v>
      </c>
      <c r="G1617" s="4" t="s">
        <v>25</v>
      </c>
      <c r="H1617" s="4"/>
      <c r="I1617" s="4"/>
      <c r="J1617" s="4"/>
      <c r="K1617" s="4"/>
      <c r="L1617" s="4"/>
      <c r="M1617" s="4"/>
      <c r="N1617" s="4"/>
      <c r="O1617" s="4"/>
      <c r="P1617" s="4"/>
    </row>
    <row r="1618" spans="1:16" x14ac:dyDescent="0.25">
      <c r="A1618" s="4" t="s">
        <v>233</v>
      </c>
      <c r="B1618" s="4" t="s">
        <v>25</v>
      </c>
      <c r="C1618" s="4" t="s">
        <v>25</v>
      </c>
      <c r="D1618" s="4" t="s">
        <v>25</v>
      </c>
      <c r="E1618" s="4" t="s">
        <v>25</v>
      </c>
      <c r="F1618" s="4" t="s">
        <v>25</v>
      </c>
      <c r="G1618" s="4" t="s">
        <v>25</v>
      </c>
      <c r="H1618" s="4"/>
      <c r="I1618" s="4"/>
      <c r="J1618" s="4"/>
      <c r="K1618" s="4"/>
      <c r="L1618" s="4"/>
      <c r="M1618" s="4"/>
      <c r="N1618" s="4"/>
      <c r="O1618" s="4"/>
      <c r="P1618" s="4"/>
    </row>
    <row r="1619" spans="1:16" x14ac:dyDescent="0.25">
      <c r="A1619" s="4" t="s">
        <v>234</v>
      </c>
      <c r="B1619" s="3">
        <v>0.37916666666666665</v>
      </c>
      <c r="C1619" s="3">
        <v>0.54861111111111105</v>
      </c>
      <c r="D1619" s="3">
        <v>0.59166666666666667</v>
      </c>
      <c r="E1619" s="3">
        <v>0.75138888888888899</v>
      </c>
      <c r="F1619" s="4"/>
      <c r="G1619" s="4"/>
      <c r="H1619" s="3">
        <v>0.33333333333333331</v>
      </c>
      <c r="I1619" s="3">
        <v>0.33333333333333331</v>
      </c>
      <c r="J1619" s="4"/>
      <c r="K1619" s="4"/>
      <c r="L1619" s="4"/>
      <c r="M1619" s="4"/>
      <c r="N1619" s="4"/>
      <c r="O1619" s="4"/>
      <c r="P1619" s="4"/>
    </row>
    <row r="1620" spans="1:16" x14ac:dyDescent="0.25">
      <c r="A1620" s="4" t="s">
        <v>235</v>
      </c>
      <c r="B1620" s="3">
        <v>0.37986111111111115</v>
      </c>
      <c r="C1620" s="3">
        <v>0.55277777777777781</v>
      </c>
      <c r="D1620" s="3">
        <v>0.59513888888888888</v>
      </c>
      <c r="E1620" s="3">
        <v>0.79305555555555562</v>
      </c>
      <c r="F1620" s="4"/>
      <c r="G1620" s="4"/>
      <c r="H1620" s="3">
        <v>0.375</v>
      </c>
      <c r="I1620" s="3">
        <v>0.375</v>
      </c>
      <c r="J1620" s="4"/>
      <c r="K1620" s="4"/>
      <c r="L1620" s="4"/>
      <c r="M1620" s="4"/>
      <c r="N1620" s="4"/>
      <c r="O1620" s="4"/>
      <c r="P1620" s="4"/>
    </row>
    <row r="1621" spans="1:16" x14ac:dyDescent="0.25">
      <c r="A1621" s="4" t="s">
        <v>236</v>
      </c>
      <c r="B1621" s="3">
        <v>0.3833333333333333</v>
      </c>
      <c r="C1621" s="3">
        <v>0.55625000000000002</v>
      </c>
      <c r="D1621" s="3">
        <v>0.59652777777777777</v>
      </c>
      <c r="E1621" s="3">
        <v>0.79999999999999993</v>
      </c>
      <c r="F1621" s="4"/>
      <c r="G1621" s="4"/>
      <c r="H1621" s="3">
        <v>0.375</v>
      </c>
      <c r="I1621" s="3">
        <v>0.375</v>
      </c>
      <c r="J1621" s="4"/>
      <c r="K1621" s="4"/>
      <c r="L1621" s="4"/>
      <c r="M1621" s="4"/>
      <c r="N1621" s="4"/>
      <c r="O1621" s="4"/>
      <c r="P1621" s="4"/>
    </row>
    <row r="1622" spans="1:16" x14ac:dyDescent="0.25">
      <c r="A1622" s="4" t="s">
        <v>237</v>
      </c>
      <c r="B1622" s="3">
        <v>0.39861111111111108</v>
      </c>
      <c r="C1622" s="3">
        <v>0.54861111111111105</v>
      </c>
      <c r="D1622" s="3">
        <v>0.59166666666666667</v>
      </c>
      <c r="E1622" s="3">
        <v>0.81736111111111109</v>
      </c>
      <c r="F1622" s="4"/>
      <c r="G1622" s="4"/>
      <c r="H1622" s="3">
        <v>0.375</v>
      </c>
      <c r="I1622" s="3">
        <v>0.375</v>
      </c>
      <c r="J1622" s="4"/>
      <c r="K1622" s="4"/>
      <c r="L1622" s="4"/>
      <c r="M1622" s="4"/>
      <c r="N1622" s="4"/>
      <c r="O1622" s="4"/>
      <c r="P1622" s="4"/>
    </row>
    <row r="1623" spans="1:16" x14ac:dyDescent="0.25">
      <c r="A1623" s="4" t="s">
        <v>238</v>
      </c>
      <c r="B1623" s="3">
        <v>0.38680555555555557</v>
      </c>
      <c r="C1623" s="3">
        <v>0.53749999999999998</v>
      </c>
      <c r="D1623" s="3">
        <v>0.58333333333333337</v>
      </c>
      <c r="E1623" s="3">
        <v>0.80625000000000002</v>
      </c>
      <c r="F1623" s="4"/>
      <c r="G1623" s="4"/>
      <c r="H1623" s="3">
        <v>0.375</v>
      </c>
      <c r="I1623" s="3">
        <v>0.375</v>
      </c>
      <c r="J1623" s="4"/>
      <c r="K1623" s="4"/>
      <c r="L1623" s="4"/>
      <c r="M1623" s="4"/>
      <c r="N1623" s="4"/>
      <c r="O1623" s="4"/>
      <c r="P1623" s="4"/>
    </row>
    <row r="1624" spans="1:16" x14ac:dyDescent="0.25">
      <c r="A1624" s="4" t="s">
        <v>239</v>
      </c>
      <c r="B1624" s="4" t="s">
        <v>25</v>
      </c>
      <c r="C1624" s="4" t="s">
        <v>25</v>
      </c>
      <c r="D1624" s="4" t="s">
        <v>25</v>
      </c>
      <c r="E1624" s="4" t="s">
        <v>25</v>
      </c>
      <c r="F1624" s="4" t="s">
        <v>25</v>
      </c>
      <c r="G1624" s="4" t="s">
        <v>25</v>
      </c>
      <c r="H1624" s="4"/>
      <c r="I1624" s="4"/>
      <c r="J1624" s="4"/>
      <c r="K1624" s="4"/>
      <c r="L1624" s="4"/>
      <c r="M1624" s="4"/>
      <c r="N1624" s="4"/>
      <c r="O1624" s="4"/>
      <c r="P1624" s="4"/>
    </row>
    <row r="1625" spans="1:16" x14ac:dyDescent="0.25">
      <c r="A1625" s="4" t="s">
        <v>240</v>
      </c>
      <c r="B1625" s="4" t="s">
        <v>25</v>
      </c>
      <c r="C1625" s="4" t="s">
        <v>25</v>
      </c>
      <c r="D1625" s="4" t="s">
        <v>25</v>
      </c>
      <c r="E1625" s="4" t="s">
        <v>25</v>
      </c>
      <c r="F1625" s="4" t="s">
        <v>25</v>
      </c>
      <c r="G1625" s="4" t="s">
        <v>25</v>
      </c>
      <c r="H1625" s="4"/>
      <c r="I1625" s="4"/>
      <c r="J1625" s="4"/>
      <c r="K1625" s="4"/>
      <c r="L1625" s="4"/>
      <c r="M1625" s="4"/>
      <c r="N1625" s="4"/>
      <c r="O1625" s="4"/>
      <c r="P1625" s="4"/>
    </row>
    <row r="1626" spans="1:16" x14ac:dyDescent="0.25">
      <c r="A1626" s="4" t="s">
        <v>241</v>
      </c>
      <c r="B1626" s="3">
        <v>0.38611111111111113</v>
      </c>
      <c r="C1626" s="3">
        <v>0.5708333333333333</v>
      </c>
      <c r="D1626" s="3">
        <v>0.61041666666666672</v>
      </c>
      <c r="E1626" s="3">
        <v>0.76041666666666663</v>
      </c>
      <c r="F1626" s="4"/>
      <c r="G1626" s="4"/>
      <c r="H1626" s="3">
        <v>0.33333333333333331</v>
      </c>
      <c r="I1626" s="3">
        <v>0.33333333333333331</v>
      </c>
      <c r="J1626" s="4"/>
      <c r="K1626" s="4"/>
      <c r="L1626" s="4"/>
      <c r="M1626" s="4"/>
      <c r="N1626" s="4"/>
      <c r="O1626" s="4"/>
      <c r="P1626" s="4"/>
    </row>
    <row r="1627" spans="1:16" x14ac:dyDescent="0.25">
      <c r="A1627" s="4" t="s">
        <v>242</v>
      </c>
      <c r="B1627" s="3">
        <v>0.38472222222222219</v>
      </c>
      <c r="C1627" s="3">
        <v>0.55694444444444446</v>
      </c>
      <c r="D1627" s="3">
        <v>0.6020833333333333</v>
      </c>
      <c r="E1627" s="3">
        <v>0.80069444444444438</v>
      </c>
      <c r="F1627" s="4"/>
      <c r="G1627" s="4"/>
      <c r="H1627" s="3">
        <v>0.375</v>
      </c>
      <c r="I1627" s="3">
        <v>0.375</v>
      </c>
      <c r="J1627" s="4"/>
      <c r="K1627" s="4"/>
      <c r="L1627" s="4"/>
      <c r="M1627" s="4"/>
      <c r="N1627" s="4"/>
      <c r="O1627" s="4"/>
      <c r="P1627" s="4"/>
    </row>
    <row r="1628" spans="1:16" x14ac:dyDescent="0.25">
      <c r="A1628" s="4" t="s">
        <v>243</v>
      </c>
      <c r="B1628" s="3">
        <v>0.38958333333333334</v>
      </c>
      <c r="C1628" s="3">
        <v>0.56458333333333333</v>
      </c>
      <c r="D1628" s="3">
        <v>0.60625000000000007</v>
      </c>
      <c r="E1628" s="3">
        <v>0.81041666666666667</v>
      </c>
      <c r="F1628" s="4"/>
      <c r="G1628" s="4"/>
      <c r="H1628" s="3">
        <v>0.375</v>
      </c>
      <c r="I1628" s="3">
        <v>0.375</v>
      </c>
      <c r="J1628" s="4"/>
      <c r="K1628" s="4"/>
      <c r="L1628" s="4"/>
      <c r="M1628" s="4"/>
      <c r="N1628" s="4"/>
      <c r="O1628" s="4"/>
      <c r="P1628" s="4"/>
    </row>
    <row r="1629" spans="1:16" x14ac:dyDescent="0.25">
      <c r="A1629" s="4" t="s">
        <v>244</v>
      </c>
      <c r="B1629" s="4" t="s">
        <v>265</v>
      </c>
      <c r="C1629" s="4" t="s">
        <v>265</v>
      </c>
      <c r="D1629" s="4" t="s">
        <v>265</v>
      </c>
      <c r="E1629" s="4" t="s">
        <v>265</v>
      </c>
      <c r="F1629" s="4"/>
      <c r="G1629" s="4"/>
      <c r="H1629" s="4"/>
      <c r="I1629" s="4"/>
      <c r="J1629" s="4"/>
      <c r="K1629" s="4"/>
      <c r="L1629" s="4"/>
      <c r="M1629" s="4"/>
      <c r="N1629" s="4"/>
      <c r="O1629" s="4"/>
      <c r="P1629" s="4"/>
    </row>
    <row r="1630" spans="1:16" x14ac:dyDescent="0.25">
      <c r="A1630" s="4" t="s">
        <v>245</v>
      </c>
      <c r="B1630" s="4" t="s">
        <v>265</v>
      </c>
      <c r="C1630" s="4" t="s">
        <v>265</v>
      </c>
      <c r="D1630" s="4" t="s">
        <v>265</v>
      </c>
      <c r="E1630" s="4" t="s">
        <v>265</v>
      </c>
      <c r="F1630" s="4"/>
      <c r="G1630" s="4"/>
      <c r="H1630" s="3">
        <v>0.375</v>
      </c>
      <c r="I1630" s="3">
        <v>0.375</v>
      </c>
      <c r="J1630" s="3">
        <v>0.375</v>
      </c>
      <c r="K1630" s="4"/>
      <c r="L1630" s="4"/>
      <c r="M1630" s="4"/>
      <c r="N1630" s="4"/>
      <c r="O1630" s="4"/>
      <c r="P1630" s="4"/>
    </row>
    <row r="1631" spans="1:16" x14ac:dyDescent="0.25">
      <c r="A1631" s="4" t="s">
        <v>246</v>
      </c>
      <c r="B1631" s="4" t="s">
        <v>25</v>
      </c>
      <c r="C1631" s="4" t="s">
        <v>25</v>
      </c>
      <c r="D1631" s="4" t="s">
        <v>25</v>
      </c>
      <c r="E1631" s="4" t="s">
        <v>25</v>
      </c>
      <c r="F1631" s="4" t="s">
        <v>25</v>
      </c>
      <c r="G1631" s="4" t="s">
        <v>25</v>
      </c>
      <c r="H1631" s="4"/>
      <c r="I1631" s="4"/>
      <c r="J1631" s="4"/>
      <c r="K1631" s="4"/>
      <c r="L1631" s="4"/>
      <c r="M1631" s="4"/>
      <c r="N1631" s="4"/>
      <c r="O1631" s="4"/>
      <c r="P1631" s="4"/>
    </row>
    <row r="1632" spans="1:16" x14ac:dyDescent="0.25">
      <c r="A1632" s="4" t="s">
        <v>247</v>
      </c>
      <c r="B1632" s="4" t="s">
        <v>25</v>
      </c>
      <c r="C1632" s="4" t="s">
        <v>25</v>
      </c>
      <c r="D1632" s="4" t="s">
        <v>25</v>
      </c>
      <c r="E1632" s="4" t="s">
        <v>25</v>
      </c>
      <c r="F1632" s="4" t="s">
        <v>25</v>
      </c>
      <c r="G1632" s="4" t="s">
        <v>25</v>
      </c>
      <c r="H1632" s="4"/>
      <c r="I1632" s="4"/>
      <c r="J1632" s="4"/>
      <c r="K1632" s="4"/>
      <c r="L1632" s="4"/>
      <c r="M1632" s="4"/>
      <c r="N1632" s="4"/>
      <c r="O1632" s="4"/>
      <c r="P1632" s="4"/>
    </row>
    <row r="1633" spans="1:16" x14ac:dyDescent="0.25">
      <c r="A1633" s="4" t="s">
        <v>248</v>
      </c>
      <c r="B1633" s="3">
        <v>0.38541666666666669</v>
      </c>
      <c r="C1633" s="3">
        <v>0.5541666666666667</v>
      </c>
      <c r="D1633" s="3">
        <v>0.59722222222222221</v>
      </c>
      <c r="E1633" s="3">
        <v>0.75902777777777775</v>
      </c>
      <c r="F1633" s="4"/>
      <c r="G1633" s="4"/>
      <c r="H1633" s="3">
        <v>0.33333333333333331</v>
      </c>
      <c r="I1633" s="3">
        <v>0.33333333333333331</v>
      </c>
      <c r="J1633" s="4"/>
      <c r="K1633" s="4"/>
      <c r="L1633" s="4"/>
      <c r="M1633" s="4"/>
      <c r="N1633" s="4"/>
      <c r="O1633" s="4"/>
      <c r="P1633" s="4"/>
    </row>
    <row r="1634" spans="1:16" x14ac:dyDescent="0.25">
      <c r="A1634" s="4" t="s">
        <v>249</v>
      </c>
      <c r="B1634" s="3">
        <v>0.40069444444444446</v>
      </c>
      <c r="C1634" s="3">
        <v>0.55277777777777781</v>
      </c>
      <c r="D1634" s="4" t="s">
        <v>52</v>
      </c>
      <c r="E1634" s="4" t="s">
        <v>52</v>
      </c>
      <c r="F1634" s="4"/>
      <c r="G1634" s="4"/>
      <c r="H1634" s="3">
        <v>0.375</v>
      </c>
      <c r="I1634" s="3">
        <v>0.375</v>
      </c>
      <c r="J1634" s="3">
        <v>0.22291666666666665</v>
      </c>
      <c r="K1634" s="4"/>
      <c r="L1634" s="4"/>
      <c r="M1634" s="4"/>
      <c r="N1634" s="4"/>
      <c r="O1634" s="4"/>
      <c r="P1634" s="4"/>
    </row>
    <row r="1635" spans="1:16" x14ac:dyDescent="0.25">
      <c r="A1635" s="4" t="s">
        <v>251</v>
      </c>
      <c r="B1635" s="4" t="s">
        <v>52</v>
      </c>
      <c r="C1635" s="4" t="s">
        <v>52</v>
      </c>
      <c r="D1635" s="4" t="s">
        <v>52</v>
      </c>
      <c r="E1635" s="4" t="s">
        <v>52</v>
      </c>
      <c r="F1635" s="4"/>
      <c r="G1635" s="4"/>
      <c r="H1635" s="3">
        <v>0.375</v>
      </c>
      <c r="I1635" s="3">
        <v>0.375</v>
      </c>
      <c r="J1635" s="3">
        <v>0.375</v>
      </c>
      <c r="K1635" s="4"/>
      <c r="L1635" s="4"/>
      <c r="M1635" s="4"/>
      <c r="N1635" s="4"/>
      <c r="O1635" s="4"/>
      <c r="P1635" s="4"/>
    </row>
    <row r="1636" spans="1:16" x14ac:dyDescent="0.25">
      <c r="A1636" s="4" t="s">
        <v>256</v>
      </c>
      <c r="B1636" s="4" t="s">
        <v>52</v>
      </c>
      <c r="C1636" s="4" t="s">
        <v>52</v>
      </c>
      <c r="D1636" s="4" t="s">
        <v>52</v>
      </c>
      <c r="E1636" s="4" t="s">
        <v>52</v>
      </c>
      <c r="F1636" s="4"/>
      <c r="G1636" s="4"/>
      <c r="H1636" s="3">
        <v>0.375</v>
      </c>
      <c r="I1636" s="3">
        <v>0.375</v>
      </c>
      <c r="J1636" s="3">
        <v>0.375</v>
      </c>
      <c r="K1636" s="4"/>
      <c r="L1636" s="4"/>
      <c r="M1636" s="4"/>
      <c r="N1636" s="4"/>
      <c r="O1636" s="4"/>
      <c r="P1636" s="4"/>
    </row>
    <row r="1637" spans="1:16" x14ac:dyDescent="0.25">
      <c r="A1637" s="4" t="s">
        <v>259</v>
      </c>
      <c r="B1637" s="3">
        <v>0.3833333333333333</v>
      </c>
      <c r="C1637" s="3">
        <v>0.55486111111111114</v>
      </c>
      <c r="D1637" s="3">
        <v>0.60347222222222219</v>
      </c>
      <c r="E1637" s="3">
        <v>0.80347222222222225</v>
      </c>
      <c r="F1637" s="4"/>
      <c r="G1637" s="4"/>
      <c r="H1637" s="3">
        <v>0.375</v>
      </c>
      <c r="I1637" s="3">
        <v>0.375</v>
      </c>
      <c r="J1637" s="4"/>
      <c r="K1637" s="4"/>
      <c r="L1637" s="4"/>
      <c r="M1637" s="4"/>
      <c r="N1637" s="4"/>
      <c r="O1637" s="4"/>
      <c r="P1637" s="4"/>
    </row>
    <row r="1638" spans="1:16" x14ac:dyDescent="0.25">
      <c r="A1638" s="4" t="s">
        <v>260</v>
      </c>
      <c r="B1638" s="4" t="s">
        <v>25</v>
      </c>
      <c r="C1638" s="4" t="s">
        <v>25</v>
      </c>
      <c r="D1638" s="4" t="s">
        <v>25</v>
      </c>
      <c r="E1638" s="4" t="s">
        <v>25</v>
      </c>
      <c r="F1638" s="4" t="s">
        <v>25</v>
      </c>
      <c r="G1638" s="4" t="s">
        <v>25</v>
      </c>
      <c r="H1638" s="4"/>
      <c r="I1638" s="4"/>
      <c r="J1638" s="4"/>
      <c r="K1638" s="4"/>
      <c r="L1638" s="4"/>
      <c r="M1638" s="4"/>
      <c r="N1638" s="4"/>
      <c r="O1638" s="4"/>
      <c r="P1638" s="4"/>
    </row>
    <row r="1639" spans="1:16" x14ac:dyDescent="0.25">
      <c r="A1639" s="4" t="s">
        <v>261</v>
      </c>
      <c r="B1639" s="4" t="s">
        <v>25</v>
      </c>
      <c r="C1639" s="4" t="s">
        <v>25</v>
      </c>
      <c r="D1639" s="4" t="s">
        <v>25</v>
      </c>
      <c r="E1639" s="4" t="s">
        <v>25</v>
      </c>
      <c r="F1639" s="4" t="s">
        <v>25</v>
      </c>
      <c r="G1639" s="4" t="s">
        <v>25</v>
      </c>
      <c r="H1639" s="4"/>
      <c r="I1639" s="4"/>
      <c r="J1639" s="4"/>
      <c r="K1639" s="4"/>
      <c r="L1639" s="4"/>
      <c r="M1639" s="4"/>
      <c r="N1639" s="4"/>
      <c r="O1639" s="4"/>
      <c r="P1639" s="4"/>
    </row>
    <row r="1640" spans="1:16" x14ac:dyDescent="0.25">
      <c r="A1640" s="4" t="s">
        <v>262</v>
      </c>
      <c r="B1640" s="3">
        <v>0.38125000000000003</v>
      </c>
      <c r="C1640" s="3">
        <v>0.55902777777777779</v>
      </c>
      <c r="D1640" s="3">
        <v>0.59930555555555554</v>
      </c>
      <c r="E1640" s="3">
        <v>0.75069444444444444</v>
      </c>
      <c r="F1640" s="4"/>
      <c r="G1640" s="4"/>
      <c r="H1640" s="3">
        <v>0.33333333333333331</v>
      </c>
      <c r="I1640" s="3">
        <v>0.33333333333333331</v>
      </c>
      <c r="J1640" s="4"/>
      <c r="K1640" s="4"/>
      <c r="L1640" s="4"/>
      <c r="M1640" s="4"/>
      <c r="N1640" s="4"/>
      <c r="O1640" s="4"/>
      <c r="P1640" s="4"/>
    </row>
    <row r="1641" spans="1:16" x14ac:dyDescent="0.25">
      <c r="A1641" s="4" t="s">
        <v>263</v>
      </c>
      <c r="B1641" s="3">
        <v>0.38194444444444442</v>
      </c>
      <c r="C1641" s="4" t="s">
        <v>287</v>
      </c>
      <c r="D1641" s="3">
        <v>0.58680555555555558</v>
      </c>
      <c r="E1641" s="3">
        <v>0.79722222222222217</v>
      </c>
      <c r="F1641" s="4"/>
      <c r="G1641" s="4"/>
      <c r="H1641" s="3">
        <v>0.375</v>
      </c>
      <c r="I1641" s="3">
        <v>0.375</v>
      </c>
      <c r="J1641" s="4"/>
      <c r="K1641" s="4"/>
      <c r="L1641" s="4"/>
      <c r="M1641" s="4"/>
      <c r="N1641" s="4"/>
      <c r="O1641" s="4"/>
      <c r="P1641" s="4"/>
    </row>
    <row r="1642" spans="1:16" x14ac:dyDescent="0.25">
      <c r="A1642" s="4" t="s">
        <v>264</v>
      </c>
      <c r="B1642" s="3">
        <v>0.38680555555555557</v>
      </c>
      <c r="C1642" s="3">
        <v>0.56874999999999998</v>
      </c>
      <c r="D1642" s="3">
        <v>0.61319444444444449</v>
      </c>
      <c r="E1642" s="3">
        <v>0.7993055555555556</v>
      </c>
      <c r="F1642" s="4"/>
      <c r="G1642" s="4"/>
      <c r="H1642" s="3">
        <v>0.375</v>
      </c>
      <c r="I1642" s="3">
        <v>0.36805555555555558</v>
      </c>
      <c r="J1642" s="4"/>
      <c r="K1642" s="4"/>
      <c r="L1642" s="4"/>
      <c r="M1642" s="4"/>
      <c r="N1642" s="4"/>
      <c r="O1642" s="3">
        <v>6.9444444444444441E-3</v>
      </c>
      <c r="P1642" s="4"/>
    </row>
    <row r="1644" spans="1:16" x14ac:dyDescent="0.25">
      <c r="A1644" s="7" t="s">
        <v>45</v>
      </c>
    </row>
    <row r="1647" spans="1:16" x14ac:dyDescent="0.25">
      <c r="A1647" s="7" t="s">
        <v>46</v>
      </c>
    </row>
    <row r="1648" spans="1:16" x14ac:dyDescent="0.25">
      <c r="A1648" s="7" t="s">
        <v>104</v>
      </c>
      <c r="F1648" s="7" t="s">
        <v>47</v>
      </c>
    </row>
    <row r="1649" spans="1:13" x14ac:dyDescent="0.25">
      <c r="F1649" s="7"/>
    </row>
    <row r="1653" spans="1:13" x14ac:dyDescent="0.25">
      <c r="G1653" s="1" t="s">
        <v>18</v>
      </c>
    </row>
    <row r="1654" spans="1:13" x14ac:dyDescent="0.25">
      <c r="A1654" s="1" t="s">
        <v>1</v>
      </c>
      <c r="B1654" t="s">
        <v>2</v>
      </c>
      <c r="H1654" s="1" t="s">
        <v>19</v>
      </c>
      <c r="I1654" s="1" t="s">
        <v>20</v>
      </c>
      <c r="J1654" s="1" t="s">
        <v>21</v>
      </c>
      <c r="K1654" s="1" t="s">
        <v>22</v>
      </c>
      <c r="L1654" s="1" t="s">
        <v>23</v>
      </c>
      <c r="M1654" s="1" t="s">
        <v>24</v>
      </c>
    </row>
    <row r="1655" spans="1:13" x14ac:dyDescent="0.25">
      <c r="A1655" s="1" t="s">
        <v>3</v>
      </c>
      <c r="B1655" t="s">
        <v>4</v>
      </c>
      <c r="G1655" s="1" t="s">
        <v>220</v>
      </c>
      <c r="H1655" s="3">
        <v>0.33333333333333331</v>
      </c>
      <c r="I1655" s="3">
        <v>0.5</v>
      </c>
      <c r="J1655" s="3">
        <v>0.54166666666666663</v>
      </c>
      <c r="K1655" s="3">
        <v>0.70833333333333337</v>
      </c>
      <c r="L1655" s="4"/>
      <c r="M1655" s="4"/>
    </row>
    <row r="1656" spans="1:13" x14ac:dyDescent="0.25">
      <c r="A1656" s="1" t="s">
        <v>5</v>
      </c>
      <c r="B1656" t="s">
        <v>6</v>
      </c>
      <c r="G1656" s="1" t="s">
        <v>221</v>
      </c>
      <c r="H1656" s="3">
        <v>0.33333333333333331</v>
      </c>
      <c r="I1656" s="3">
        <v>0.5</v>
      </c>
      <c r="J1656" s="3">
        <v>0.54166666666666663</v>
      </c>
      <c r="K1656" s="3">
        <v>0.75</v>
      </c>
      <c r="L1656" s="4"/>
      <c r="M1656" s="4"/>
    </row>
    <row r="1657" spans="1:13" x14ac:dyDescent="0.25">
      <c r="G1657" s="1" t="s">
        <v>222</v>
      </c>
      <c r="H1657" s="3">
        <v>0.33333333333333331</v>
      </c>
      <c r="I1657" s="3">
        <v>0.5</v>
      </c>
      <c r="J1657" s="3">
        <v>0.54166666666666663</v>
      </c>
      <c r="K1657" s="3">
        <v>0.75</v>
      </c>
      <c r="L1657" s="4"/>
      <c r="M1657" s="4"/>
    </row>
    <row r="1658" spans="1:13" x14ac:dyDescent="0.25">
      <c r="A1658" s="1" t="s">
        <v>7</v>
      </c>
      <c r="B1658" t="s">
        <v>106</v>
      </c>
      <c r="G1658" s="1" t="s">
        <v>223</v>
      </c>
      <c r="H1658" s="3">
        <v>0.33333333333333331</v>
      </c>
      <c r="I1658" s="3">
        <v>0.5</v>
      </c>
      <c r="J1658" s="3">
        <v>0.54166666666666663</v>
      </c>
      <c r="K1658" s="3">
        <v>0.75</v>
      </c>
      <c r="L1658" s="4"/>
      <c r="M1658" s="4"/>
    </row>
    <row r="1659" spans="1:13" x14ac:dyDescent="0.25">
      <c r="A1659" s="1" t="s">
        <v>9</v>
      </c>
      <c r="B1659" t="s">
        <v>107</v>
      </c>
      <c r="D1659" s="1" t="s">
        <v>11</v>
      </c>
      <c r="E1659" t="s">
        <v>107</v>
      </c>
      <c r="G1659" s="1" t="s">
        <v>224</v>
      </c>
      <c r="H1659" s="3">
        <v>0.33333333333333331</v>
      </c>
      <c r="I1659" s="3">
        <v>0.5</v>
      </c>
      <c r="J1659" s="3">
        <v>0.54166666666666663</v>
      </c>
      <c r="K1659" s="3">
        <v>0.75</v>
      </c>
      <c r="L1659" s="4"/>
      <c r="M1659" s="4"/>
    </row>
    <row r="1660" spans="1:13" x14ac:dyDescent="0.25">
      <c r="A1660" s="1" t="s">
        <v>12</v>
      </c>
      <c r="D1660" s="1" t="s">
        <v>13</v>
      </c>
      <c r="E1660" s="2">
        <v>42278</v>
      </c>
      <c r="G1660" s="1" t="s">
        <v>225</v>
      </c>
      <c r="H1660" s="4" t="s">
        <v>25</v>
      </c>
      <c r="I1660" s="4" t="s">
        <v>25</v>
      </c>
      <c r="J1660" s="4" t="s">
        <v>25</v>
      </c>
      <c r="K1660" s="4" t="s">
        <v>25</v>
      </c>
      <c r="L1660" s="4" t="s">
        <v>25</v>
      </c>
      <c r="M1660" s="4" t="s">
        <v>25</v>
      </c>
    </row>
    <row r="1661" spans="1:13" x14ac:dyDescent="0.25">
      <c r="A1661" s="1" t="s">
        <v>14</v>
      </c>
      <c r="B1661" t="s">
        <v>58</v>
      </c>
      <c r="G1661" s="1" t="s">
        <v>226</v>
      </c>
      <c r="H1661" s="4" t="s">
        <v>25</v>
      </c>
      <c r="I1661" s="4" t="s">
        <v>25</v>
      </c>
      <c r="J1661" s="4" t="s">
        <v>25</v>
      </c>
      <c r="K1661" s="4" t="s">
        <v>25</v>
      </c>
      <c r="L1661" s="4" t="s">
        <v>25</v>
      </c>
      <c r="M1661" s="4" t="s">
        <v>25</v>
      </c>
    </row>
    <row r="1662" spans="1:13" x14ac:dyDescent="0.25">
      <c r="A1662" s="1" t="s">
        <v>16</v>
      </c>
      <c r="B1662" t="s">
        <v>17</v>
      </c>
    </row>
    <row r="1665" spans="1:16" x14ac:dyDescent="0.25">
      <c r="A1665" s="5" t="s">
        <v>26</v>
      </c>
      <c r="B1665" s="5" t="s">
        <v>27</v>
      </c>
      <c r="C1665" s="5" t="s">
        <v>28</v>
      </c>
      <c r="D1665" s="5" t="s">
        <v>29</v>
      </c>
      <c r="E1665" s="5" t="s">
        <v>30</v>
      </c>
      <c r="F1665" s="5" t="s">
        <v>31</v>
      </c>
      <c r="G1665" s="5" t="s">
        <v>32</v>
      </c>
      <c r="H1665" s="5" t="s">
        <v>33</v>
      </c>
      <c r="I1665" s="5" t="s">
        <v>34</v>
      </c>
      <c r="J1665" s="5" t="s">
        <v>35</v>
      </c>
      <c r="K1665" s="5" t="s">
        <v>36</v>
      </c>
      <c r="L1665" s="5" t="s">
        <v>37</v>
      </c>
      <c r="M1665" s="5" t="s">
        <v>38</v>
      </c>
      <c r="N1665" s="5" t="s">
        <v>39</v>
      </c>
      <c r="O1665" s="5" t="s">
        <v>40</v>
      </c>
      <c r="P1665" s="5" t="s">
        <v>41</v>
      </c>
    </row>
    <row r="1666" spans="1:16" x14ac:dyDescent="0.25">
      <c r="A1666" s="4"/>
      <c r="B1666" s="4"/>
      <c r="C1666" s="4"/>
      <c r="D1666" s="4"/>
      <c r="E1666" s="4"/>
      <c r="F1666" s="4"/>
      <c r="G1666" s="4"/>
      <c r="H1666" s="6">
        <v>8.0416666666666661</v>
      </c>
      <c r="I1666" s="6">
        <v>7.6597222222222223</v>
      </c>
      <c r="J1666" s="6">
        <v>1.3951388888888889</v>
      </c>
      <c r="K1666" s="3">
        <v>0</v>
      </c>
      <c r="L1666" s="3">
        <v>0.30555555555555552</v>
      </c>
      <c r="M1666" s="3">
        <v>0</v>
      </c>
      <c r="N1666" s="3">
        <v>0</v>
      </c>
      <c r="O1666" s="3">
        <v>0.38194444444444442</v>
      </c>
      <c r="P1666" s="3">
        <v>0.3527777777777778</v>
      </c>
    </row>
    <row r="1667" spans="1:16" x14ac:dyDescent="0.25">
      <c r="A1667" s="4" t="s">
        <v>227</v>
      </c>
      <c r="B1667" s="3">
        <v>0.34513888888888888</v>
      </c>
      <c r="C1667" s="3">
        <v>0.55625000000000002</v>
      </c>
      <c r="D1667" s="3">
        <v>0.59166666666666667</v>
      </c>
      <c r="E1667" s="3">
        <v>0.71805555555555556</v>
      </c>
      <c r="F1667" s="4"/>
      <c r="G1667" s="4"/>
      <c r="H1667" s="3">
        <v>0.33333333333333331</v>
      </c>
      <c r="I1667" s="3">
        <v>0.33333333333333331</v>
      </c>
      <c r="J1667" s="4"/>
      <c r="K1667" s="4"/>
      <c r="L1667" s="4"/>
      <c r="M1667" s="4"/>
      <c r="N1667" s="4"/>
      <c r="O1667" s="4"/>
      <c r="P1667" s="4"/>
    </row>
    <row r="1668" spans="1:16" x14ac:dyDescent="0.25">
      <c r="A1668" s="4" t="s">
        <v>228</v>
      </c>
      <c r="B1668" s="3">
        <v>0.34722222222222227</v>
      </c>
      <c r="C1668" s="3">
        <v>0.49722222222222223</v>
      </c>
      <c r="D1668" s="3">
        <v>0.54236111111111118</v>
      </c>
      <c r="E1668" s="3">
        <v>0.76250000000000007</v>
      </c>
      <c r="F1668" s="4"/>
      <c r="G1668" s="4"/>
      <c r="H1668" s="3">
        <v>0.375</v>
      </c>
      <c r="I1668" s="3">
        <v>0.375</v>
      </c>
      <c r="J1668" s="4"/>
      <c r="K1668" s="4"/>
      <c r="L1668" s="4"/>
      <c r="M1668" s="4"/>
      <c r="N1668" s="4"/>
      <c r="O1668" s="4"/>
      <c r="P1668" s="4"/>
    </row>
    <row r="1669" spans="1:16" x14ac:dyDescent="0.25">
      <c r="A1669" s="4" t="s">
        <v>229</v>
      </c>
      <c r="B1669" s="4"/>
      <c r="C1669" s="4"/>
      <c r="D1669" s="4"/>
      <c r="E1669" s="4"/>
      <c r="F1669" s="4"/>
      <c r="G1669" s="4"/>
      <c r="H1669" s="3">
        <v>0.375</v>
      </c>
      <c r="I1669" s="4"/>
      <c r="J1669" s="4"/>
      <c r="K1669" s="4"/>
      <c r="L1669" s="4"/>
      <c r="M1669" s="4"/>
      <c r="N1669" s="4"/>
      <c r="O1669" s="3">
        <v>0.375</v>
      </c>
      <c r="P1669" s="4"/>
    </row>
    <row r="1670" spans="1:16" x14ac:dyDescent="0.25">
      <c r="A1670" s="4" t="s">
        <v>230</v>
      </c>
      <c r="B1670" s="3">
        <v>0.34027777777777773</v>
      </c>
      <c r="C1670" s="3">
        <v>0.53402777777777777</v>
      </c>
      <c r="D1670" s="3">
        <v>0.57361111111111118</v>
      </c>
      <c r="E1670" s="3">
        <v>0.75347222222222221</v>
      </c>
      <c r="F1670" s="4"/>
      <c r="G1670" s="4"/>
      <c r="H1670" s="3">
        <v>0.375</v>
      </c>
      <c r="I1670" s="3">
        <v>0.375</v>
      </c>
      <c r="J1670" s="4"/>
      <c r="K1670" s="4"/>
      <c r="L1670" s="4"/>
      <c r="M1670" s="4"/>
      <c r="N1670" s="4"/>
      <c r="O1670" s="4"/>
      <c r="P1670" s="4"/>
    </row>
    <row r="1671" spans="1:16" x14ac:dyDescent="0.25">
      <c r="A1671" s="4" t="s">
        <v>231</v>
      </c>
      <c r="B1671" s="3">
        <v>0.34583333333333338</v>
      </c>
      <c r="C1671" s="3">
        <v>0.57291666666666663</v>
      </c>
      <c r="D1671" s="3">
        <v>0.61388888888888882</v>
      </c>
      <c r="E1671" s="3">
        <v>0.7597222222222223</v>
      </c>
      <c r="F1671" s="4"/>
      <c r="G1671" s="4"/>
      <c r="H1671" s="3">
        <v>0.375</v>
      </c>
      <c r="I1671" s="3">
        <v>0.375</v>
      </c>
      <c r="J1671" s="4"/>
      <c r="K1671" s="4"/>
      <c r="L1671" s="4"/>
      <c r="M1671" s="4"/>
      <c r="N1671" s="4"/>
      <c r="O1671" s="4"/>
      <c r="P1671" s="4"/>
    </row>
    <row r="1672" spans="1:16" x14ac:dyDescent="0.25">
      <c r="A1672" s="4" t="s">
        <v>232</v>
      </c>
      <c r="B1672" s="4" t="s">
        <v>25</v>
      </c>
      <c r="C1672" s="4" t="s">
        <v>25</v>
      </c>
      <c r="D1672" s="4" t="s">
        <v>25</v>
      </c>
      <c r="E1672" s="4" t="s">
        <v>25</v>
      </c>
      <c r="F1672" s="4" t="s">
        <v>25</v>
      </c>
      <c r="G1672" s="4" t="s">
        <v>25</v>
      </c>
      <c r="H1672" s="4"/>
      <c r="I1672" s="4"/>
      <c r="J1672" s="4"/>
      <c r="K1672" s="4"/>
      <c r="L1672" s="4"/>
      <c r="M1672" s="4"/>
      <c r="N1672" s="4"/>
      <c r="O1672" s="4"/>
      <c r="P1672" s="4"/>
    </row>
    <row r="1673" spans="1:16" x14ac:dyDescent="0.25">
      <c r="A1673" s="4" t="s">
        <v>233</v>
      </c>
      <c r="B1673" s="4" t="s">
        <v>25</v>
      </c>
      <c r="C1673" s="4" t="s">
        <v>25</v>
      </c>
      <c r="D1673" s="4" t="s">
        <v>25</v>
      </c>
      <c r="E1673" s="4" t="s">
        <v>25</v>
      </c>
      <c r="F1673" s="4" t="s">
        <v>25</v>
      </c>
      <c r="G1673" s="4" t="s">
        <v>25</v>
      </c>
      <c r="H1673" s="4"/>
      <c r="I1673" s="4"/>
      <c r="J1673" s="4"/>
      <c r="K1673" s="4"/>
      <c r="L1673" s="4"/>
      <c r="M1673" s="4"/>
      <c r="N1673" s="4"/>
      <c r="O1673" s="4"/>
      <c r="P1673" s="4"/>
    </row>
    <row r="1674" spans="1:16" x14ac:dyDescent="0.25">
      <c r="A1674" s="4" t="s">
        <v>234</v>
      </c>
      <c r="B1674" s="3">
        <v>0.3298611111111111</v>
      </c>
      <c r="C1674" s="3">
        <v>0.54097222222222219</v>
      </c>
      <c r="D1674" s="3">
        <v>0.58333333333333337</v>
      </c>
      <c r="E1674" s="3">
        <v>0.71111111111111114</v>
      </c>
      <c r="F1674" s="4"/>
      <c r="G1674" s="4"/>
      <c r="H1674" s="3">
        <v>0.33333333333333331</v>
      </c>
      <c r="I1674" s="3">
        <v>0.33333333333333331</v>
      </c>
      <c r="J1674" s="4"/>
      <c r="K1674" s="4"/>
      <c r="L1674" s="4"/>
      <c r="M1674" s="4"/>
      <c r="N1674" s="4"/>
      <c r="O1674" s="4"/>
      <c r="P1674" s="4"/>
    </row>
    <row r="1675" spans="1:16" x14ac:dyDescent="0.25">
      <c r="A1675" s="4" t="s">
        <v>235</v>
      </c>
      <c r="B1675" s="3">
        <v>0.34513888888888888</v>
      </c>
      <c r="C1675" s="3">
        <v>0.49861111111111112</v>
      </c>
      <c r="D1675" s="3">
        <v>0.5444444444444444</v>
      </c>
      <c r="E1675" s="3">
        <v>0.76111111111111107</v>
      </c>
      <c r="F1675" s="4"/>
      <c r="G1675" s="4"/>
      <c r="H1675" s="3">
        <v>0.375</v>
      </c>
      <c r="I1675" s="3">
        <v>0.375</v>
      </c>
      <c r="J1675" s="4"/>
      <c r="K1675" s="4"/>
      <c r="L1675" s="4"/>
      <c r="M1675" s="4"/>
      <c r="N1675" s="4"/>
      <c r="O1675" s="4"/>
      <c r="P1675" s="4"/>
    </row>
    <row r="1676" spans="1:16" x14ac:dyDescent="0.25">
      <c r="A1676" s="4" t="s">
        <v>236</v>
      </c>
      <c r="B1676" s="3">
        <v>0.3347222222222222</v>
      </c>
      <c r="C1676" s="3">
        <v>0.53055555555555556</v>
      </c>
      <c r="D1676" s="3">
        <v>0.5708333333333333</v>
      </c>
      <c r="E1676" s="3">
        <v>0.75208333333333333</v>
      </c>
      <c r="F1676" s="4"/>
      <c r="G1676" s="4"/>
      <c r="H1676" s="3">
        <v>0.375</v>
      </c>
      <c r="I1676" s="3">
        <v>0.375</v>
      </c>
      <c r="J1676" s="4"/>
      <c r="K1676" s="4"/>
      <c r="L1676" s="4"/>
      <c r="M1676" s="4"/>
      <c r="N1676" s="4"/>
      <c r="O1676" s="4"/>
      <c r="P1676" s="4"/>
    </row>
    <row r="1677" spans="1:16" x14ac:dyDescent="0.25">
      <c r="A1677" s="4" t="s">
        <v>237</v>
      </c>
      <c r="B1677" s="3">
        <v>0.34236111111111112</v>
      </c>
      <c r="C1677" s="3">
        <v>0.49791666666666662</v>
      </c>
      <c r="D1677" s="3">
        <v>0.5395833333333333</v>
      </c>
      <c r="E1677" s="3">
        <v>0.76180555555555562</v>
      </c>
      <c r="F1677" s="4"/>
      <c r="G1677" s="4"/>
      <c r="H1677" s="3">
        <v>0.375</v>
      </c>
      <c r="I1677" s="3">
        <v>0.375</v>
      </c>
      <c r="J1677" s="4"/>
      <c r="K1677" s="4"/>
      <c r="L1677" s="4"/>
      <c r="M1677" s="4"/>
      <c r="N1677" s="4"/>
      <c r="O1677" s="4"/>
      <c r="P1677" s="4"/>
    </row>
    <row r="1678" spans="1:16" x14ac:dyDescent="0.25">
      <c r="A1678" s="4" t="s">
        <v>238</v>
      </c>
      <c r="B1678" s="3">
        <v>0.34236111111111112</v>
      </c>
      <c r="C1678" s="3">
        <v>0.53680555555555554</v>
      </c>
      <c r="D1678" s="3">
        <v>0.58263888888888882</v>
      </c>
      <c r="E1678" s="3">
        <v>0.7597222222222223</v>
      </c>
      <c r="F1678" s="4"/>
      <c r="G1678" s="4"/>
      <c r="H1678" s="3">
        <v>0.375</v>
      </c>
      <c r="I1678" s="3">
        <v>0.375</v>
      </c>
      <c r="J1678" s="4"/>
      <c r="K1678" s="4"/>
      <c r="L1678" s="4"/>
      <c r="M1678" s="4"/>
      <c r="N1678" s="4"/>
      <c r="O1678" s="4"/>
      <c r="P1678" s="4"/>
    </row>
    <row r="1679" spans="1:16" x14ac:dyDescent="0.25">
      <c r="A1679" s="4" t="s">
        <v>239</v>
      </c>
      <c r="B1679" s="4" t="s">
        <v>25</v>
      </c>
      <c r="C1679" s="4" t="s">
        <v>25</v>
      </c>
      <c r="D1679" s="4" t="s">
        <v>25</v>
      </c>
      <c r="E1679" s="4" t="s">
        <v>25</v>
      </c>
      <c r="F1679" s="4" t="s">
        <v>25</v>
      </c>
      <c r="G1679" s="4" t="s">
        <v>25</v>
      </c>
      <c r="H1679" s="4"/>
      <c r="I1679" s="4"/>
      <c r="J1679" s="4"/>
      <c r="K1679" s="4"/>
      <c r="L1679" s="4"/>
      <c r="M1679" s="4"/>
      <c r="N1679" s="4"/>
      <c r="O1679" s="4"/>
      <c r="P1679" s="4"/>
    </row>
    <row r="1680" spans="1:16" x14ac:dyDescent="0.25">
      <c r="A1680" s="4" t="s">
        <v>240</v>
      </c>
      <c r="B1680" s="4" t="s">
        <v>25</v>
      </c>
      <c r="C1680" s="4" t="s">
        <v>25</v>
      </c>
      <c r="D1680" s="4" t="s">
        <v>25</v>
      </c>
      <c r="E1680" s="4" t="s">
        <v>25</v>
      </c>
      <c r="F1680" s="4" t="s">
        <v>25</v>
      </c>
      <c r="G1680" s="4" t="s">
        <v>25</v>
      </c>
      <c r="H1680" s="4"/>
      <c r="I1680" s="4"/>
      <c r="J1680" s="4"/>
      <c r="K1680" s="4"/>
      <c r="L1680" s="4"/>
      <c r="M1680" s="4"/>
      <c r="N1680" s="4"/>
      <c r="O1680" s="4"/>
      <c r="P1680" s="4"/>
    </row>
    <row r="1681" spans="1:16" x14ac:dyDescent="0.25">
      <c r="A1681" s="4" t="s">
        <v>241</v>
      </c>
      <c r="B1681" s="3">
        <v>0.33124999999999999</v>
      </c>
      <c r="C1681" s="3">
        <v>0.54513888888888895</v>
      </c>
      <c r="D1681" s="3">
        <v>0.59166666666666667</v>
      </c>
      <c r="E1681" s="3">
        <v>0.70972222222222225</v>
      </c>
      <c r="F1681" s="4"/>
      <c r="G1681" s="4"/>
      <c r="H1681" s="3">
        <v>0.33333333333333331</v>
      </c>
      <c r="I1681" s="3">
        <v>0.33333333333333331</v>
      </c>
      <c r="J1681" s="4"/>
      <c r="K1681" s="4"/>
      <c r="L1681" s="4"/>
      <c r="M1681" s="4"/>
      <c r="N1681" s="4"/>
      <c r="O1681" s="4"/>
      <c r="P1681" s="4"/>
    </row>
    <row r="1682" spans="1:16" x14ac:dyDescent="0.25">
      <c r="A1682" s="4" t="s">
        <v>242</v>
      </c>
      <c r="B1682" s="3">
        <v>0.32916666666666666</v>
      </c>
      <c r="C1682" s="3">
        <v>0.49722222222222223</v>
      </c>
      <c r="D1682" s="4" t="s">
        <v>52</v>
      </c>
      <c r="E1682" s="4" t="s">
        <v>52</v>
      </c>
      <c r="F1682" s="4"/>
      <c r="G1682" s="4"/>
      <c r="H1682" s="3">
        <v>0.375</v>
      </c>
      <c r="I1682" s="3">
        <v>0.375</v>
      </c>
      <c r="J1682" s="3">
        <v>0.20833333333333334</v>
      </c>
      <c r="K1682" s="4"/>
      <c r="L1682" s="4"/>
      <c r="M1682" s="4"/>
      <c r="N1682" s="4"/>
      <c r="O1682" s="4"/>
      <c r="P1682" s="4"/>
    </row>
    <row r="1683" spans="1:16" x14ac:dyDescent="0.25">
      <c r="A1683" s="4" t="s">
        <v>243</v>
      </c>
      <c r="B1683" s="3">
        <v>0.34027777777777773</v>
      </c>
      <c r="C1683" s="3">
        <v>0.55833333333333335</v>
      </c>
      <c r="D1683" s="4" t="s">
        <v>271</v>
      </c>
      <c r="E1683" s="3">
        <v>0.7597222222222223</v>
      </c>
      <c r="F1683" s="4"/>
      <c r="G1683" s="4"/>
      <c r="H1683" s="3">
        <v>0.375</v>
      </c>
      <c r="I1683" s="3">
        <v>0.375</v>
      </c>
      <c r="J1683" s="4"/>
      <c r="K1683" s="4"/>
      <c r="L1683" s="4"/>
      <c r="M1683" s="4"/>
      <c r="N1683" s="4"/>
      <c r="O1683" s="4"/>
      <c r="P1683" s="4"/>
    </row>
    <row r="1684" spans="1:16" x14ac:dyDescent="0.25">
      <c r="A1684" s="4" t="s">
        <v>244</v>
      </c>
      <c r="B1684" s="3">
        <v>0.37222222222222223</v>
      </c>
      <c r="C1684" s="3">
        <v>0.54999999999999993</v>
      </c>
      <c r="D1684" s="3">
        <v>0.59166666666666667</v>
      </c>
      <c r="E1684" s="4" t="s">
        <v>44</v>
      </c>
      <c r="F1684" s="4"/>
      <c r="G1684" s="4"/>
      <c r="H1684" s="4"/>
      <c r="I1684" s="4"/>
      <c r="J1684" s="4"/>
      <c r="K1684" s="4"/>
      <c r="L1684" s="4"/>
      <c r="M1684" s="4"/>
      <c r="N1684" s="4"/>
      <c r="O1684" s="4"/>
      <c r="P1684" s="3">
        <v>0.33611111111111108</v>
      </c>
    </row>
    <row r="1685" spans="1:16" x14ac:dyDescent="0.25">
      <c r="A1685" s="4" t="s">
        <v>245</v>
      </c>
      <c r="B1685" s="3">
        <v>0.33124999999999999</v>
      </c>
      <c r="C1685" s="3">
        <v>0.55347222222222225</v>
      </c>
      <c r="D1685" s="3">
        <v>0.59236111111111112</v>
      </c>
      <c r="E1685" s="3">
        <v>0.75624999999999998</v>
      </c>
      <c r="F1685" s="4"/>
      <c r="G1685" s="4"/>
      <c r="H1685" s="3">
        <v>0.375</v>
      </c>
      <c r="I1685" s="3">
        <v>0.375</v>
      </c>
      <c r="J1685" s="4"/>
      <c r="K1685" s="4"/>
      <c r="L1685" s="4"/>
      <c r="M1685" s="4"/>
      <c r="N1685" s="4"/>
      <c r="O1685" s="4"/>
      <c r="P1685" s="3">
        <v>9.0277777777777787E-3</v>
      </c>
    </row>
    <row r="1686" spans="1:16" x14ac:dyDescent="0.25">
      <c r="A1686" s="4" t="s">
        <v>246</v>
      </c>
      <c r="B1686" s="4"/>
      <c r="C1686" s="4"/>
      <c r="D1686" s="4"/>
      <c r="E1686" s="4"/>
      <c r="F1686" s="4"/>
      <c r="G1686" s="4"/>
      <c r="H1686" s="4"/>
      <c r="I1686" s="4"/>
      <c r="J1686" s="4"/>
      <c r="K1686" s="4"/>
      <c r="L1686" s="4"/>
      <c r="M1686" s="4"/>
      <c r="N1686" s="4"/>
      <c r="O1686" s="4"/>
      <c r="P1686" s="4"/>
    </row>
    <row r="1687" spans="1:16" x14ac:dyDescent="0.25">
      <c r="A1687" s="4" t="s">
        <v>247</v>
      </c>
      <c r="B1687" s="4" t="s">
        <v>25</v>
      </c>
      <c r="C1687" s="4" t="s">
        <v>25</v>
      </c>
      <c r="D1687" s="4" t="s">
        <v>25</v>
      </c>
      <c r="E1687" s="4" t="s">
        <v>25</v>
      </c>
      <c r="F1687" s="4" t="s">
        <v>25</v>
      </c>
      <c r="G1687" s="4" t="s">
        <v>25</v>
      </c>
      <c r="H1687" s="4"/>
      <c r="I1687" s="4"/>
      <c r="J1687" s="4"/>
      <c r="K1687" s="4"/>
      <c r="L1687" s="3">
        <v>0.30555555555555552</v>
      </c>
      <c r="M1687" s="4"/>
      <c r="N1687" s="4"/>
      <c r="O1687" s="4"/>
      <c r="P1687" s="4"/>
    </row>
    <row r="1688" spans="1:16" x14ac:dyDescent="0.25">
      <c r="A1688" s="4" t="s">
        <v>248</v>
      </c>
      <c r="B1688" s="3">
        <v>0.33749999999999997</v>
      </c>
      <c r="C1688" s="3">
        <v>0.5395833333333333</v>
      </c>
      <c r="D1688" s="3">
        <v>0.57708333333333328</v>
      </c>
      <c r="E1688" s="3">
        <v>0.71597222222222223</v>
      </c>
      <c r="F1688" s="4"/>
      <c r="G1688" s="4"/>
      <c r="H1688" s="3">
        <v>0.33333333333333331</v>
      </c>
      <c r="I1688" s="3">
        <v>0.33333333333333331</v>
      </c>
      <c r="J1688" s="4"/>
      <c r="K1688" s="4"/>
      <c r="L1688" s="4"/>
      <c r="M1688" s="4"/>
      <c r="N1688" s="4"/>
      <c r="O1688" s="4"/>
      <c r="P1688" s="3">
        <v>7.6388888888888886E-3</v>
      </c>
    </row>
    <row r="1689" spans="1:16" x14ac:dyDescent="0.25">
      <c r="A1689" s="4" t="s">
        <v>249</v>
      </c>
      <c r="B1689" s="3">
        <v>0.33402777777777781</v>
      </c>
      <c r="C1689" s="3">
        <v>0.49652777777777773</v>
      </c>
      <c r="D1689" s="4" t="s">
        <v>52</v>
      </c>
      <c r="E1689" s="4" t="s">
        <v>52</v>
      </c>
      <c r="F1689" s="4"/>
      <c r="G1689" s="4"/>
      <c r="H1689" s="3">
        <v>0.375</v>
      </c>
      <c r="I1689" s="3">
        <v>0.375</v>
      </c>
      <c r="J1689" s="3">
        <v>0.20833333333333334</v>
      </c>
      <c r="K1689" s="4"/>
      <c r="L1689" s="4"/>
      <c r="M1689" s="4"/>
      <c r="N1689" s="4"/>
      <c r="O1689" s="4"/>
      <c r="P1689" s="4"/>
    </row>
    <row r="1690" spans="1:16" x14ac:dyDescent="0.25">
      <c r="A1690" s="4" t="s">
        <v>251</v>
      </c>
      <c r="B1690" s="4" t="s">
        <v>52</v>
      </c>
      <c r="C1690" s="4" t="s">
        <v>52</v>
      </c>
      <c r="D1690" s="4" t="s">
        <v>52</v>
      </c>
      <c r="E1690" s="4" t="s">
        <v>52</v>
      </c>
      <c r="F1690" s="4"/>
      <c r="G1690" s="4"/>
      <c r="H1690" s="3">
        <v>0.375</v>
      </c>
      <c r="I1690" s="3">
        <v>0.375</v>
      </c>
      <c r="J1690" s="3">
        <v>0.375</v>
      </c>
      <c r="K1690" s="4"/>
      <c r="L1690" s="4"/>
      <c r="M1690" s="4"/>
      <c r="N1690" s="4"/>
      <c r="O1690" s="4"/>
      <c r="P1690" s="4"/>
    </row>
    <row r="1691" spans="1:16" x14ac:dyDescent="0.25">
      <c r="A1691" s="4" t="s">
        <v>256</v>
      </c>
      <c r="B1691" s="4" t="s">
        <v>52</v>
      </c>
      <c r="C1691" s="4" t="s">
        <v>52</v>
      </c>
      <c r="D1691" s="4" t="s">
        <v>52</v>
      </c>
      <c r="E1691" s="4" t="s">
        <v>52</v>
      </c>
      <c r="F1691" s="4"/>
      <c r="G1691" s="4"/>
      <c r="H1691" s="3">
        <v>0.375</v>
      </c>
      <c r="I1691" s="3">
        <v>0.375</v>
      </c>
      <c r="J1691" s="3">
        <v>0.375</v>
      </c>
      <c r="K1691" s="4"/>
      <c r="L1691" s="4"/>
      <c r="M1691" s="4"/>
      <c r="N1691" s="4"/>
      <c r="O1691" s="4"/>
      <c r="P1691" s="4"/>
    </row>
    <row r="1692" spans="1:16" x14ac:dyDescent="0.25">
      <c r="A1692" s="4" t="s">
        <v>259</v>
      </c>
      <c r="B1692" s="4" t="s">
        <v>52</v>
      </c>
      <c r="C1692" s="4" t="s">
        <v>52</v>
      </c>
      <c r="D1692" s="3">
        <v>0.60347222222222219</v>
      </c>
      <c r="E1692" s="3">
        <v>0.75277777777777777</v>
      </c>
      <c r="F1692" s="4"/>
      <c r="G1692" s="4"/>
      <c r="H1692" s="3">
        <v>0.375</v>
      </c>
      <c r="I1692" s="3">
        <v>0.375</v>
      </c>
      <c r="J1692" s="3">
        <v>0.22847222222222222</v>
      </c>
      <c r="K1692" s="4"/>
      <c r="L1692" s="4"/>
      <c r="M1692" s="4"/>
      <c r="N1692" s="4"/>
      <c r="O1692" s="4"/>
      <c r="P1692" s="4"/>
    </row>
    <row r="1693" spans="1:16" x14ac:dyDescent="0.25">
      <c r="A1693" s="4" t="s">
        <v>260</v>
      </c>
      <c r="B1693" s="4" t="s">
        <v>25</v>
      </c>
      <c r="C1693" s="4" t="s">
        <v>25</v>
      </c>
      <c r="D1693" s="4" t="s">
        <v>25</v>
      </c>
      <c r="E1693" s="4" t="s">
        <v>25</v>
      </c>
      <c r="F1693" s="4" t="s">
        <v>25</v>
      </c>
      <c r="G1693" s="4" t="s">
        <v>25</v>
      </c>
      <c r="H1693" s="4"/>
      <c r="I1693" s="4"/>
      <c r="J1693" s="4"/>
      <c r="K1693" s="4"/>
      <c r="L1693" s="4"/>
      <c r="M1693" s="4"/>
      <c r="N1693" s="4"/>
      <c r="O1693" s="4"/>
      <c r="P1693" s="4"/>
    </row>
    <row r="1694" spans="1:16" x14ac:dyDescent="0.25">
      <c r="A1694" s="4" t="s">
        <v>261</v>
      </c>
      <c r="B1694" s="4" t="s">
        <v>25</v>
      </c>
      <c r="C1694" s="4" t="s">
        <v>25</v>
      </c>
      <c r="D1694" s="4" t="s">
        <v>25</v>
      </c>
      <c r="E1694" s="4" t="s">
        <v>25</v>
      </c>
      <c r="F1694" s="4" t="s">
        <v>25</v>
      </c>
      <c r="G1694" s="4" t="s">
        <v>25</v>
      </c>
      <c r="H1694" s="4"/>
      <c r="I1694" s="4"/>
      <c r="J1694" s="4"/>
      <c r="K1694" s="4"/>
      <c r="L1694" s="4"/>
      <c r="M1694" s="4"/>
      <c r="N1694" s="4"/>
      <c r="O1694" s="4"/>
      <c r="P1694" s="4"/>
    </row>
    <row r="1695" spans="1:16" x14ac:dyDescent="0.25">
      <c r="A1695" s="4" t="s">
        <v>262</v>
      </c>
      <c r="B1695" s="3">
        <v>0.33958333333333335</v>
      </c>
      <c r="C1695" s="3">
        <v>0.54722222222222217</v>
      </c>
      <c r="D1695" s="3">
        <v>0.5854166666666667</v>
      </c>
      <c r="E1695" s="3">
        <v>0.70833333333333337</v>
      </c>
      <c r="F1695" s="4"/>
      <c r="G1695" s="4"/>
      <c r="H1695" s="3">
        <v>0.33333333333333331</v>
      </c>
      <c r="I1695" s="3">
        <v>0.33333333333333331</v>
      </c>
      <c r="J1695" s="4"/>
      <c r="K1695" s="4"/>
      <c r="L1695" s="4"/>
      <c r="M1695" s="4"/>
      <c r="N1695" s="4"/>
      <c r="O1695" s="4"/>
      <c r="P1695" s="4"/>
    </row>
    <row r="1696" spans="1:16" x14ac:dyDescent="0.25">
      <c r="A1696" s="4" t="s">
        <v>263</v>
      </c>
      <c r="B1696" s="3">
        <v>0.33888888888888885</v>
      </c>
      <c r="C1696" s="3">
        <v>0.49791666666666662</v>
      </c>
      <c r="D1696" s="3">
        <v>0.54861111111111105</v>
      </c>
      <c r="E1696" s="3">
        <v>0.75555555555555554</v>
      </c>
      <c r="F1696" s="4"/>
      <c r="G1696" s="4"/>
      <c r="H1696" s="3">
        <v>0.375</v>
      </c>
      <c r="I1696" s="3">
        <v>0.36805555555555558</v>
      </c>
      <c r="J1696" s="4"/>
      <c r="K1696" s="4"/>
      <c r="L1696" s="4"/>
      <c r="M1696" s="4"/>
      <c r="N1696" s="4"/>
      <c r="O1696" s="3">
        <v>6.9444444444444441E-3</v>
      </c>
      <c r="P1696" s="4"/>
    </row>
    <row r="1697" spans="1:16" x14ac:dyDescent="0.25">
      <c r="A1697" s="4" t="s">
        <v>264</v>
      </c>
      <c r="B1697" s="3">
        <v>0.33749999999999997</v>
      </c>
      <c r="C1697" s="3">
        <v>0.54583333333333328</v>
      </c>
      <c r="D1697" s="3">
        <v>0.58611111111111114</v>
      </c>
      <c r="E1697" s="3">
        <v>0.75208333333333333</v>
      </c>
      <c r="F1697" s="4"/>
      <c r="G1697" s="4"/>
      <c r="H1697" s="3">
        <v>0.375</v>
      </c>
      <c r="I1697" s="3">
        <v>0.375</v>
      </c>
      <c r="J1697" s="4"/>
      <c r="K1697" s="4"/>
      <c r="L1697" s="4"/>
      <c r="M1697" s="4"/>
      <c r="N1697" s="4"/>
      <c r="O1697" s="4"/>
      <c r="P1697" s="4"/>
    </row>
    <row r="1699" spans="1:16" x14ac:dyDescent="0.25">
      <c r="A1699" s="7" t="s">
        <v>45</v>
      </c>
    </row>
    <row r="1702" spans="1:16" x14ac:dyDescent="0.25">
      <c r="A1702" s="7" t="s">
        <v>46</v>
      </c>
    </row>
    <row r="1703" spans="1:16" x14ac:dyDescent="0.25">
      <c r="A1703" s="7" t="s">
        <v>106</v>
      </c>
      <c r="F1703" s="7" t="s">
        <v>47</v>
      </c>
    </row>
    <row r="1704" spans="1:16" x14ac:dyDescent="0.25">
      <c r="F1704" s="7"/>
    </row>
    <row r="1708" spans="1:16" x14ac:dyDescent="0.25">
      <c r="G1708" s="1" t="s">
        <v>18</v>
      </c>
    </row>
    <row r="1709" spans="1:16" x14ac:dyDescent="0.25">
      <c r="A1709" s="1" t="s">
        <v>1</v>
      </c>
      <c r="B1709" t="s">
        <v>2</v>
      </c>
      <c r="H1709" s="1" t="s">
        <v>19</v>
      </c>
      <c r="I1709" s="1" t="s">
        <v>20</v>
      </c>
      <c r="J1709" s="1" t="s">
        <v>21</v>
      </c>
      <c r="K1709" s="1" t="s">
        <v>22</v>
      </c>
      <c r="L1709" s="1" t="s">
        <v>23</v>
      </c>
      <c r="M1709" s="1" t="s">
        <v>24</v>
      </c>
    </row>
    <row r="1710" spans="1:16" x14ac:dyDescent="0.25">
      <c r="A1710" s="1" t="s">
        <v>3</v>
      </c>
      <c r="B1710" t="s">
        <v>4</v>
      </c>
      <c r="G1710" s="1" t="s">
        <v>220</v>
      </c>
      <c r="H1710" s="3">
        <v>0.41666666666666669</v>
      </c>
      <c r="I1710" s="3">
        <v>0.54166666666666663</v>
      </c>
      <c r="J1710" s="3">
        <v>0.58333333333333337</v>
      </c>
      <c r="K1710" s="3">
        <v>0.79166666666666663</v>
      </c>
      <c r="L1710" s="4"/>
      <c r="M1710" s="4"/>
    </row>
    <row r="1711" spans="1:16" x14ac:dyDescent="0.25">
      <c r="A1711" s="1" t="s">
        <v>5</v>
      </c>
      <c r="B1711" t="s">
        <v>6</v>
      </c>
      <c r="G1711" s="1" t="s">
        <v>221</v>
      </c>
      <c r="H1711" s="3">
        <v>0.41666666666666669</v>
      </c>
      <c r="I1711" s="3">
        <v>0.54166666666666663</v>
      </c>
      <c r="J1711" s="3">
        <v>0.58333333333333337</v>
      </c>
      <c r="K1711" s="3">
        <v>0.83333333333333337</v>
      </c>
      <c r="L1711" s="4"/>
      <c r="M1711" s="4"/>
    </row>
    <row r="1712" spans="1:16" x14ac:dyDescent="0.25">
      <c r="G1712" s="1" t="s">
        <v>222</v>
      </c>
      <c r="H1712" s="3">
        <v>0.41666666666666669</v>
      </c>
      <c r="I1712" s="3">
        <v>0.54166666666666663</v>
      </c>
      <c r="J1712" s="3">
        <v>0.58333333333333337</v>
      </c>
      <c r="K1712" s="3">
        <v>0.83333333333333337</v>
      </c>
      <c r="L1712" s="4"/>
      <c r="M1712" s="4"/>
    </row>
    <row r="1713" spans="1:16" x14ac:dyDescent="0.25">
      <c r="A1713" s="1" t="s">
        <v>7</v>
      </c>
      <c r="B1713" t="s">
        <v>108</v>
      </c>
      <c r="G1713" s="1" t="s">
        <v>223</v>
      </c>
      <c r="H1713" s="3">
        <v>0.41666666666666669</v>
      </c>
      <c r="I1713" s="3">
        <v>0.54166666666666663</v>
      </c>
      <c r="J1713" s="3">
        <v>0.58333333333333337</v>
      </c>
      <c r="K1713" s="3">
        <v>0.83333333333333337</v>
      </c>
      <c r="L1713" s="4"/>
      <c r="M1713" s="4"/>
    </row>
    <row r="1714" spans="1:16" x14ac:dyDescent="0.25">
      <c r="A1714" s="1" t="s">
        <v>9</v>
      </c>
      <c r="B1714" t="s">
        <v>109</v>
      </c>
      <c r="D1714" s="1" t="s">
        <v>11</v>
      </c>
      <c r="E1714" t="s">
        <v>109</v>
      </c>
      <c r="G1714" s="1" t="s">
        <v>224</v>
      </c>
      <c r="H1714" s="3">
        <v>0.41666666666666669</v>
      </c>
      <c r="I1714" s="3">
        <v>0.54166666666666663</v>
      </c>
      <c r="J1714" s="3">
        <v>0.58333333333333337</v>
      </c>
      <c r="K1714" s="3">
        <v>0.83333333333333337</v>
      </c>
      <c r="L1714" s="4"/>
      <c r="M1714" s="4"/>
    </row>
    <row r="1715" spans="1:16" x14ac:dyDescent="0.25">
      <c r="A1715" s="1" t="s">
        <v>12</v>
      </c>
      <c r="D1715" s="1" t="s">
        <v>13</v>
      </c>
      <c r="E1715" s="2">
        <v>42278</v>
      </c>
      <c r="G1715" s="1" t="s">
        <v>225</v>
      </c>
      <c r="H1715" s="4" t="s">
        <v>25</v>
      </c>
      <c r="I1715" s="4" t="s">
        <v>25</v>
      </c>
      <c r="J1715" s="4" t="s">
        <v>25</v>
      </c>
      <c r="K1715" s="4" t="s">
        <v>25</v>
      </c>
      <c r="L1715" s="4" t="s">
        <v>25</v>
      </c>
      <c r="M1715" s="4" t="s">
        <v>25</v>
      </c>
    </row>
    <row r="1716" spans="1:16" x14ac:dyDescent="0.25">
      <c r="A1716" s="1" t="s">
        <v>14</v>
      </c>
      <c r="B1716" t="s">
        <v>58</v>
      </c>
      <c r="G1716" s="1" t="s">
        <v>226</v>
      </c>
      <c r="H1716" s="4" t="s">
        <v>25</v>
      </c>
      <c r="I1716" s="4" t="s">
        <v>25</v>
      </c>
      <c r="J1716" s="4" t="s">
        <v>25</v>
      </c>
      <c r="K1716" s="4" t="s">
        <v>25</v>
      </c>
      <c r="L1716" s="4" t="s">
        <v>25</v>
      </c>
      <c r="M1716" s="4" t="s">
        <v>25</v>
      </c>
    </row>
    <row r="1717" spans="1:16" x14ac:dyDescent="0.25">
      <c r="A1717" s="1" t="s">
        <v>16</v>
      </c>
      <c r="B1717" t="s">
        <v>17</v>
      </c>
    </row>
    <row r="1720" spans="1:16" x14ac:dyDescent="0.25">
      <c r="A1720" s="5" t="s">
        <v>26</v>
      </c>
      <c r="B1720" s="5" t="s">
        <v>27</v>
      </c>
      <c r="C1720" s="5" t="s">
        <v>28</v>
      </c>
      <c r="D1720" s="5" t="s">
        <v>29</v>
      </c>
      <c r="E1720" s="5" t="s">
        <v>30</v>
      </c>
      <c r="F1720" s="5" t="s">
        <v>31</v>
      </c>
      <c r="G1720" s="5" t="s">
        <v>32</v>
      </c>
      <c r="H1720" s="5" t="s">
        <v>33</v>
      </c>
      <c r="I1720" s="5" t="s">
        <v>34</v>
      </c>
      <c r="J1720" s="5" t="s">
        <v>35</v>
      </c>
      <c r="K1720" s="5" t="s">
        <v>36</v>
      </c>
      <c r="L1720" s="5" t="s">
        <v>37</v>
      </c>
      <c r="M1720" s="5" t="s">
        <v>38</v>
      </c>
      <c r="N1720" s="5" t="s">
        <v>39</v>
      </c>
      <c r="O1720" s="5" t="s">
        <v>40</v>
      </c>
      <c r="P1720" s="5" t="s">
        <v>41</v>
      </c>
    </row>
    <row r="1721" spans="1:16" x14ac:dyDescent="0.25">
      <c r="A1721" s="4"/>
      <c r="B1721" s="4"/>
      <c r="C1721" s="4"/>
      <c r="D1721" s="4"/>
      <c r="E1721" s="4"/>
      <c r="F1721" s="4"/>
      <c r="G1721" s="4"/>
      <c r="H1721" s="6">
        <v>8.0416666666666661</v>
      </c>
      <c r="I1721" s="6">
        <v>7.9826388888888893</v>
      </c>
      <c r="J1721" s="6">
        <v>1.3756944444444443</v>
      </c>
      <c r="K1721" s="3">
        <v>0</v>
      </c>
      <c r="L1721" s="3">
        <v>0</v>
      </c>
      <c r="M1721" s="3">
        <v>0</v>
      </c>
      <c r="N1721" s="3">
        <v>0</v>
      </c>
      <c r="O1721" s="3">
        <v>5.9027777777777783E-2</v>
      </c>
      <c r="P1721" s="3">
        <v>6.9444444444444441E-3</v>
      </c>
    </row>
    <row r="1722" spans="1:16" x14ac:dyDescent="0.25">
      <c r="A1722" s="4" t="s">
        <v>227</v>
      </c>
      <c r="B1722" s="3">
        <v>0.42152777777777778</v>
      </c>
      <c r="C1722" s="3">
        <v>0.57291666666666663</v>
      </c>
      <c r="D1722" s="3">
        <v>0.61388888888888882</v>
      </c>
      <c r="E1722" s="4" t="s">
        <v>288</v>
      </c>
      <c r="F1722" s="4"/>
      <c r="G1722" s="4"/>
      <c r="H1722" s="3">
        <v>0.33333333333333331</v>
      </c>
      <c r="I1722" s="3">
        <v>0.33333333333333331</v>
      </c>
      <c r="J1722" s="4"/>
      <c r="K1722" s="4"/>
      <c r="L1722" s="4"/>
      <c r="M1722" s="4"/>
      <c r="N1722" s="4"/>
      <c r="O1722" s="4"/>
      <c r="P1722" s="4"/>
    </row>
    <row r="1723" spans="1:16" x14ac:dyDescent="0.25">
      <c r="A1723" s="4" t="s">
        <v>228</v>
      </c>
      <c r="B1723" s="3">
        <v>0.42291666666666666</v>
      </c>
      <c r="C1723" s="3">
        <v>0.52013888888888882</v>
      </c>
      <c r="D1723" s="3">
        <v>0.56111111111111112</v>
      </c>
      <c r="E1723" s="3">
        <v>0.83888888888888891</v>
      </c>
      <c r="F1723" s="4"/>
      <c r="G1723" s="4"/>
      <c r="H1723" s="3">
        <v>0.375</v>
      </c>
      <c r="I1723" s="3">
        <v>0.375</v>
      </c>
      <c r="J1723" s="4"/>
      <c r="K1723" s="4"/>
      <c r="L1723" s="4"/>
      <c r="M1723" s="4"/>
      <c r="N1723" s="4"/>
      <c r="O1723" s="4"/>
      <c r="P1723" s="4"/>
    </row>
    <row r="1724" spans="1:16" x14ac:dyDescent="0.25">
      <c r="A1724" s="4" t="s">
        <v>229</v>
      </c>
      <c r="B1724" s="3">
        <v>0.42638888888888887</v>
      </c>
      <c r="C1724" s="3">
        <v>0.58680555555555558</v>
      </c>
      <c r="D1724" s="3">
        <v>0.62847222222222221</v>
      </c>
      <c r="E1724" s="3">
        <v>0.84513888888888899</v>
      </c>
      <c r="F1724" s="4"/>
      <c r="G1724" s="4"/>
      <c r="H1724" s="3">
        <v>0.375</v>
      </c>
      <c r="I1724" s="3">
        <v>0.375</v>
      </c>
      <c r="J1724" s="4"/>
      <c r="K1724" s="4"/>
      <c r="L1724" s="4"/>
      <c r="M1724" s="4"/>
      <c r="N1724" s="4"/>
      <c r="O1724" s="4"/>
      <c r="P1724" s="4"/>
    </row>
    <row r="1725" spans="1:16" x14ac:dyDescent="0.25">
      <c r="A1725" s="4" t="s">
        <v>230</v>
      </c>
      <c r="B1725" s="3">
        <v>0.42569444444444443</v>
      </c>
      <c r="C1725" s="3">
        <v>0.54999999999999993</v>
      </c>
      <c r="D1725" s="3">
        <v>0.59166666666666667</v>
      </c>
      <c r="E1725" s="3">
        <v>0.84166666666666667</v>
      </c>
      <c r="F1725" s="4"/>
      <c r="G1725" s="4"/>
      <c r="H1725" s="3">
        <v>0.375</v>
      </c>
      <c r="I1725" s="3">
        <v>0.375</v>
      </c>
      <c r="J1725" s="4"/>
      <c r="K1725" s="4"/>
      <c r="L1725" s="4"/>
      <c r="M1725" s="4"/>
      <c r="N1725" s="4"/>
      <c r="O1725" s="4"/>
      <c r="P1725" s="4"/>
    </row>
    <row r="1726" spans="1:16" x14ac:dyDescent="0.25">
      <c r="A1726" s="4" t="s">
        <v>231</v>
      </c>
      <c r="B1726" s="3">
        <v>0.42777777777777781</v>
      </c>
      <c r="C1726" s="3">
        <v>0.55763888888888891</v>
      </c>
      <c r="D1726" s="3">
        <v>0.59861111111111109</v>
      </c>
      <c r="E1726" s="3">
        <v>0.84444444444444444</v>
      </c>
      <c r="F1726" s="4"/>
      <c r="G1726" s="4"/>
      <c r="H1726" s="3">
        <v>0.375</v>
      </c>
      <c r="I1726" s="3">
        <v>0.375</v>
      </c>
      <c r="J1726" s="4"/>
      <c r="K1726" s="4"/>
      <c r="L1726" s="4"/>
      <c r="M1726" s="4"/>
      <c r="N1726" s="4"/>
      <c r="O1726" s="4"/>
      <c r="P1726" s="4"/>
    </row>
    <row r="1727" spans="1:16" x14ac:dyDescent="0.25">
      <c r="A1727" s="4" t="s">
        <v>232</v>
      </c>
      <c r="B1727" s="4" t="s">
        <v>25</v>
      </c>
      <c r="C1727" s="4" t="s">
        <v>25</v>
      </c>
      <c r="D1727" s="4" t="s">
        <v>25</v>
      </c>
      <c r="E1727" s="4" t="s">
        <v>25</v>
      </c>
      <c r="F1727" s="4" t="s">
        <v>25</v>
      </c>
      <c r="G1727" s="4" t="s">
        <v>25</v>
      </c>
      <c r="H1727" s="4"/>
      <c r="I1727" s="4"/>
      <c r="J1727" s="4"/>
      <c r="K1727" s="4"/>
      <c r="L1727" s="4"/>
      <c r="M1727" s="4"/>
      <c r="N1727" s="4"/>
      <c r="O1727" s="4"/>
      <c r="P1727" s="4"/>
    </row>
    <row r="1728" spans="1:16" x14ac:dyDescent="0.25">
      <c r="A1728" s="4" t="s">
        <v>233</v>
      </c>
      <c r="B1728" s="4" t="s">
        <v>25</v>
      </c>
      <c r="C1728" s="4" t="s">
        <v>25</v>
      </c>
      <c r="D1728" s="4" t="s">
        <v>25</v>
      </c>
      <c r="E1728" s="4" t="s">
        <v>25</v>
      </c>
      <c r="F1728" s="4" t="s">
        <v>25</v>
      </c>
      <c r="G1728" s="4" t="s">
        <v>25</v>
      </c>
      <c r="H1728" s="4"/>
      <c r="I1728" s="4"/>
      <c r="J1728" s="4"/>
      <c r="K1728" s="4"/>
      <c r="L1728" s="4"/>
      <c r="M1728" s="4"/>
      <c r="N1728" s="4"/>
      <c r="O1728" s="4"/>
      <c r="P1728" s="4"/>
    </row>
    <row r="1729" spans="1:16" x14ac:dyDescent="0.25">
      <c r="A1729" s="4" t="s">
        <v>234</v>
      </c>
      <c r="B1729" s="3">
        <v>0.42430555555555555</v>
      </c>
      <c r="C1729" s="3">
        <v>0.54861111111111105</v>
      </c>
      <c r="D1729" s="3">
        <v>0.59166666666666667</v>
      </c>
      <c r="E1729" s="3">
        <v>0.79999999999999993</v>
      </c>
      <c r="F1729" s="4"/>
      <c r="G1729" s="4"/>
      <c r="H1729" s="3">
        <v>0.33333333333333331</v>
      </c>
      <c r="I1729" s="3">
        <v>0.33333333333333331</v>
      </c>
      <c r="J1729" s="4"/>
      <c r="K1729" s="4"/>
      <c r="L1729" s="4"/>
      <c r="M1729" s="4"/>
      <c r="N1729" s="4"/>
      <c r="O1729" s="4"/>
      <c r="P1729" s="4"/>
    </row>
    <row r="1730" spans="1:16" x14ac:dyDescent="0.25">
      <c r="A1730" s="4" t="s">
        <v>235</v>
      </c>
      <c r="B1730" s="3">
        <v>0.42430555555555555</v>
      </c>
      <c r="C1730" s="3">
        <v>0.55277777777777781</v>
      </c>
      <c r="D1730" s="3">
        <v>0.59513888888888888</v>
      </c>
      <c r="E1730" s="3">
        <v>0.84166666666666667</v>
      </c>
      <c r="F1730" s="4"/>
      <c r="G1730" s="4"/>
      <c r="H1730" s="3">
        <v>0.375</v>
      </c>
      <c r="I1730" s="3">
        <v>0.375</v>
      </c>
      <c r="J1730" s="4"/>
      <c r="K1730" s="4"/>
      <c r="L1730" s="4"/>
      <c r="M1730" s="4"/>
      <c r="N1730" s="4"/>
      <c r="O1730" s="4"/>
      <c r="P1730" s="4"/>
    </row>
    <row r="1731" spans="1:16" x14ac:dyDescent="0.25">
      <c r="A1731" s="4" t="s">
        <v>236</v>
      </c>
      <c r="B1731" s="3">
        <v>0.43263888888888885</v>
      </c>
      <c r="C1731" s="3">
        <v>0.55625000000000002</v>
      </c>
      <c r="D1731" s="3">
        <v>0.59652777777777777</v>
      </c>
      <c r="E1731" s="3">
        <v>0.84791666666666676</v>
      </c>
      <c r="F1731" s="4"/>
      <c r="G1731" s="4"/>
      <c r="H1731" s="3">
        <v>0.375</v>
      </c>
      <c r="I1731" s="3">
        <v>0.375</v>
      </c>
      <c r="J1731" s="4"/>
      <c r="K1731" s="4"/>
      <c r="L1731" s="4"/>
      <c r="M1731" s="4"/>
      <c r="N1731" s="4"/>
      <c r="O1731" s="4"/>
      <c r="P1731" s="4"/>
    </row>
    <row r="1732" spans="1:16" x14ac:dyDescent="0.25">
      <c r="A1732" s="4" t="s">
        <v>237</v>
      </c>
      <c r="B1732" s="3">
        <v>0.43402777777777773</v>
      </c>
      <c r="C1732" s="3">
        <v>0.54861111111111105</v>
      </c>
      <c r="D1732" s="3">
        <v>0.59166666666666667</v>
      </c>
      <c r="E1732" s="3">
        <v>0.84861111111111109</v>
      </c>
      <c r="F1732" s="4"/>
      <c r="G1732" s="4"/>
      <c r="H1732" s="3">
        <v>0.375</v>
      </c>
      <c r="I1732" s="3">
        <v>0.375</v>
      </c>
      <c r="J1732" s="4"/>
      <c r="K1732" s="4"/>
      <c r="L1732" s="4"/>
      <c r="M1732" s="4"/>
      <c r="N1732" s="4"/>
      <c r="O1732" s="4"/>
      <c r="P1732" s="4"/>
    </row>
    <row r="1733" spans="1:16" x14ac:dyDescent="0.25">
      <c r="A1733" s="4" t="s">
        <v>238</v>
      </c>
      <c r="B1733" s="3">
        <v>0.4381944444444445</v>
      </c>
      <c r="C1733" s="3">
        <v>0.56874999999999998</v>
      </c>
      <c r="D1733" s="3">
        <v>0.60833333333333328</v>
      </c>
      <c r="E1733" s="3">
        <v>0.84166666666666667</v>
      </c>
      <c r="F1733" s="4"/>
      <c r="G1733" s="4"/>
      <c r="H1733" s="3">
        <v>0.375</v>
      </c>
      <c r="I1733" s="3">
        <v>0.36388888888888887</v>
      </c>
      <c r="J1733" s="4"/>
      <c r="K1733" s="4"/>
      <c r="L1733" s="4"/>
      <c r="M1733" s="4"/>
      <c r="N1733" s="4"/>
      <c r="O1733" s="3">
        <v>1.1111111111111112E-2</v>
      </c>
      <c r="P1733" s="4"/>
    </row>
    <row r="1734" spans="1:16" x14ac:dyDescent="0.25">
      <c r="A1734" s="4" t="s">
        <v>239</v>
      </c>
      <c r="B1734" s="4" t="s">
        <v>25</v>
      </c>
      <c r="C1734" s="4" t="s">
        <v>25</v>
      </c>
      <c r="D1734" s="4" t="s">
        <v>25</v>
      </c>
      <c r="E1734" s="4" t="s">
        <v>25</v>
      </c>
      <c r="F1734" s="4" t="s">
        <v>25</v>
      </c>
      <c r="G1734" s="4" t="s">
        <v>25</v>
      </c>
      <c r="H1734" s="4"/>
      <c r="I1734" s="4"/>
      <c r="J1734" s="4"/>
      <c r="K1734" s="4"/>
      <c r="L1734" s="4"/>
      <c r="M1734" s="4"/>
      <c r="N1734" s="4"/>
      <c r="O1734" s="4"/>
      <c r="P1734" s="4"/>
    </row>
    <row r="1735" spans="1:16" x14ac:dyDescent="0.25">
      <c r="A1735" s="4" t="s">
        <v>240</v>
      </c>
      <c r="B1735" s="4" t="s">
        <v>25</v>
      </c>
      <c r="C1735" s="4" t="s">
        <v>25</v>
      </c>
      <c r="D1735" s="4" t="s">
        <v>25</v>
      </c>
      <c r="E1735" s="4" t="s">
        <v>25</v>
      </c>
      <c r="F1735" s="4" t="s">
        <v>25</v>
      </c>
      <c r="G1735" s="4" t="s">
        <v>25</v>
      </c>
      <c r="H1735" s="4"/>
      <c r="I1735" s="4"/>
      <c r="J1735" s="4"/>
      <c r="K1735" s="4"/>
      <c r="L1735" s="4"/>
      <c r="M1735" s="4"/>
      <c r="N1735" s="4"/>
      <c r="O1735" s="4"/>
      <c r="P1735" s="4"/>
    </row>
    <row r="1736" spans="1:16" x14ac:dyDescent="0.25">
      <c r="A1736" s="4" t="s">
        <v>241</v>
      </c>
      <c r="B1736" s="3">
        <v>0.42638888888888887</v>
      </c>
      <c r="C1736" s="3">
        <v>0.5708333333333333</v>
      </c>
      <c r="D1736" s="3">
        <v>0.61249999999999993</v>
      </c>
      <c r="E1736" s="3">
        <v>0.80138888888888893</v>
      </c>
      <c r="F1736" s="4"/>
      <c r="G1736" s="4"/>
      <c r="H1736" s="3">
        <v>0.33333333333333331</v>
      </c>
      <c r="I1736" s="3">
        <v>0.33333333333333331</v>
      </c>
      <c r="J1736" s="4"/>
      <c r="K1736" s="4"/>
      <c r="L1736" s="4"/>
      <c r="M1736" s="4"/>
      <c r="N1736" s="4"/>
      <c r="O1736" s="4"/>
      <c r="P1736" s="4"/>
    </row>
    <row r="1737" spans="1:16" x14ac:dyDescent="0.25">
      <c r="A1737" s="4" t="s">
        <v>242</v>
      </c>
      <c r="B1737" s="3">
        <v>0.42152777777777778</v>
      </c>
      <c r="C1737" s="3">
        <v>0.55555555555555558</v>
      </c>
      <c r="D1737" s="3">
        <v>0.6020833333333333</v>
      </c>
      <c r="E1737" s="3">
        <v>0.83888888888888891</v>
      </c>
      <c r="F1737" s="4"/>
      <c r="G1737" s="4"/>
      <c r="H1737" s="3">
        <v>0.375</v>
      </c>
      <c r="I1737" s="3">
        <v>0.375</v>
      </c>
      <c r="J1737" s="4"/>
      <c r="K1737" s="4"/>
      <c r="L1737" s="4"/>
      <c r="M1737" s="4"/>
      <c r="N1737" s="4"/>
      <c r="O1737" s="4"/>
      <c r="P1737" s="4"/>
    </row>
    <row r="1738" spans="1:16" x14ac:dyDescent="0.25">
      <c r="A1738" s="4" t="s">
        <v>243</v>
      </c>
      <c r="B1738" s="3">
        <v>0.43055555555555558</v>
      </c>
      <c r="C1738" s="3">
        <v>0.56458333333333333</v>
      </c>
      <c r="D1738" s="3">
        <v>0.60625000000000007</v>
      </c>
      <c r="E1738" s="3">
        <v>0.83680555555555547</v>
      </c>
      <c r="F1738" s="4"/>
      <c r="G1738" s="4"/>
      <c r="H1738" s="3">
        <v>0.375</v>
      </c>
      <c r="I1738" s="3">
        <v>0.3611111111111111</v>
      </c>
      <c r="J1738" s="4"/>
      <c r="K1738" s="4"/>
      <c r="L1738" s="4"/>
      <c r="M1738" s="4"/>
      <c r="N1738" s="4"/>
      <c r="O1738" s="3">
        <v>1.3888888888888888E-2</v>
      </c>
      <c r="P1738" s="4"/>
    </row>
    <row r="1739" spans="1:16" x14ac:dyDescent="0.25">
      <c r="A1739" s="4" t="s">
        <v>244</v>
      </c>
      <c r="B1739" s="4" t="s">
        <v>265</v>
      </c>
      <c r="C1739" s="4" t="s">
        <v>265</v>
      </c>
      <c r="D1739" s="4" t="s">
        <v>265</v>
      </c>
      <c r="E1739" s="4" t="s">
        <v>265</v>
      </c>
      <c r="F1739" s="4" t="s">
        <v>265</v>
      </c>
      <c r="G1739" s="4" t="s">
        <v>265</v>
      </c>
      <c r="H1739" s="4"/>
      <c r="I1739" s="4"/>
      <c r="J1739" s="4"/>
      <c r="K1739" s="4"/>
      <c r="L1739" s="4"/>
      <c r="M1739" s="4"/>
      <c r="N1739" s="4"/>
      <c r="O1739" s="4"/>
      <c r="P1739" s="4"/>
    </row>
    <row r="1740" spans="1:16" x14ac:dyDescent="0.25">
      <c r="A1740" s="4" t="s">
        <v>245</v>
      </c>
      <c r="B1740" s="4" t="s">
        <v>52</v>
      </c>
      <c r="C1740" s="4" t="s">
        <v>52</v>
      </c>
      <c r="D1740" s="4" t="s">
        <v>52</v>
      </c>
      <c r="E1740" s="4" t="s">
        <v>52</v>
      </c>
      <c r="F1740" s="4"/>
      <c r="G1740" s="4"/>
      <c r="H1740" s="3">
        <v>0.375</v>
      </c>
      <c r="I1740" s="3">
        <v>0.375</v>
      </c>
      <c r="J1740" s="3">
        <v>0.375</v>
      </c>
      <c r="K1740" s="4"/>
      <c r="L1740" s="4"/>
      <c r="M1740" s="4"/>
      <c r="N1740" s="4"/>
      <c r="O1740" s="4"/>
      <c r="P1740" s="4"/>
    </row>
    <row r="1741" spans="1:16" x14ac:dyDescent="0.25">
      <c r="A1741" s="4" t="s">
        <v>246</v>
      </c>
      <c r="B1741" s="4" t="s">
        <v>25</v>
      </c>
      <c r="C1741" s="4" t="s">
        <v>25</v>
      </c>
      <c r="D1741" s="4" t="s">
        <v>25</v>
      </c>
      <c r="E1741" s="4" t="s">
        <v>25</v>
      </c>
      <c r="F1741" s="4" t="s">
        <v>25</v>
      </c>
      <c r="G1741" s="4" t="s">
        <v>25</v>
      </c>
      <c r="H1741" s="4"/>
      <c r="I1741" s="4"/>
      <c r="J1741" s="4"/>
      <c r="K1741" s="4"/>
      <c r="L1741" s="4"/>
      <c r="M1741" s="4"/>
      <c r="N1741" s="4"/>
      <c r="O1741" s="4"/>
      <c r="P1741" s="4"/>
    </row>
    <row r="1742" spans="1:16" x14ac:dyDescent="0.25">
      <c r="A1742" s="4" t="s">
        <v>247</v>
      </c>
      <c r="B1742" s="4" t="s">
        <v>25</v>
      </c>
      <c r="C1742" s="4" t="s">
        <v>25</v>
      </c>
      <c r="D1742" s="4" t="s">
        <v>25</v>
      </c>
      <c r="E1742" s="4" t="s">
        <v>25</v>
      </c>
      <c r="F1742" s="4" t="s">
        <v>25</v>
      </c>
      <c r="G1742" s="4" t="s">
        <v>25</v>
      </c>
      <c r="H1742" s="4"/>
      <c r="I1742" s="4"/>
      <c r="J1742" s="4"/>
      <c r="K1742" s="4"/>
      <c r="L1742" s="4"/>
      <c r="M1742" s="4"/>
      <c r="N1742" s="4"/>
      <c r="O1742" s="4"/>
      <c r="P1742" s="4"/>
    </row>
    <row r="1743" spans="1:16" x14ac:dyDescent="0.25">
      <c r="A1743" s="4" t="s">
        <v>248</v>
      </c>
      <c r="B1743" s="3">
        <v>0.42291666666666666</v>
      </c>
      <c r="C1743" s="3">
        <v>0.5541666666666667</v>
      </c>
      <c r="D1743" s="3">
        <v>0.59652777777777777</v>
      </c>
      <c r="E1743" s="3">
        <v>0.79861111111111116</v>
      </c>
      <c r="F1743" s="4"/>
      <c r="G1743" s="4"/>
      <c r="H1743" s="3">
        <v>0.33333333333333331</v>
      </c>
      <c r="I1743" s="3">
        <v>0.33333333333333331</v>
      </c>
      <c r="J1743" s="4"/>
      <c r="K1743" s="4"/>
      <c r="L1743" s="4"/>
      <c r="M1743" s="4"/>
      <c r="N1743" s="4"/>
      <c r="O1743" s="4"/>
      <c r="P1743" s="4"/>
    </row>
    <row r="1744" spans="1:16" x14ac:dyDescent="0.25">
      <c r="A1744" s="4" t="s">
        <v>249</v>
      </c>
      <c r="B1744" s="3">
        <v>0.4284722222222222</v>
      </c>
      <c r="C1744" s="3">
        <v>0.55277777777777781</v>
      </c>
      <c r="D1744" s="3">
        <v>0.59583333333333333</v>
      </c>
      <c r="E1744" s="4" t="s">
        <v>52</v>
      </c>
      <c r="F1744" s="4"/>
      <c r="G1744" s="4"/>
      <c r="H1744" s="3">
        <v>0.375</v>
      </c>
      <c r="I1744" s="3">
        <v>0.375</v>
      </c>
      <c r="J1744" s="3">
        <v>0.25069444444444444</v>
      </c>
      <c r="K1744" s="4"/>
      <c r="L1744" s="4"/>
      <c r="M1744" s="4"/>
      <c r="N1744" s="4"/>
      <c r="O1744" s="4"/>
      <c r="P1744" s="4"/>
    </row>
    <row r="1745" spans="1:16" x14ac:dyDescent="0.25">
      <c r="A1745" s="4" t="s">
        <v>251</v>
      </c>
      <c r="B1745" s="4" t="s">
        <v>52</v>
      </c>
      <c r="C1745" s="4" t="s">
        <v>52</v>
      </c>
      <c r="D1745" s="4" t="s">
        <v>52</v>
      </c>
      <c r="E1745" s="4" t="s">
        <v>52</v>
      </c>
      <c r="F1745" s="4"/>
      <c r="G1745" s="4"/>
      <c r="H1745" s="3">
        <v>0.375</v>
      </c>
      <c r="I1745" s="3">
        <v>0.375</v>
      </c>
      <c r="J1745" s="3">
        <v>0.375</v>
      </c>
      <c r="K1745" s="4"/>
      <c r="L1745" s="4"/>
      <c r="M1745" s="4"/>
      <c r="N1745" s="4"/>
      <c r="O1745" s="4"/>
      <c r="P1745" s="4"/>
    </row>
    <row r="1746" spans="1:16" x14ac:dyDescent="0.25">
      <c r="A1746" s="4" t="s">
        <v>256</v>
      </c>
      <c r="B1746" s="4" t="s">
        <v>52</v>
      </c>
      <c r="C1746" s="4" t="s">
        <v>52</v>
      </c>
      <c r="D1746" s="4" t="s">
        <v>52</v>
      </c>
      <c r="E1746" s="4" t="s">
        <v>52</v>
      </c>
      <c r="F1746" s="4"/>
      <c r="G1746" s="4"/>
      <c r="H1746" s="3">
        <v>0.375</v>
      </c>
      <c r="I1746" s="3">
        <v>0.375</v>
      </c>
      <c r="J1746" s="3">
        <v>0.375</v>
      </c>
      <c r="K1746" s="4"/>
      <c r="L1746" s="4"/>
      <c r="M1746" s="4"/>
      <c r="N1746" s="4"/>
      <c r="O1746" s="4"/>
      <c r="P1746" s="4"/>
    </row>
    <row r="1747" spans="1:16" x14ac:dyDescent="0.25">
      <c r="A1747" s="4" t="s">
        <v>259</v>
      </c>
      <c r="B1747" s="4" t="s">
        <v>272</v>
      </c>
      <c r="C1747" s="3">
        <v>0.55486111111111114</v>
      </c>
      <c r="D1747" s="3">
        <v>0.60277777777777775</v>
      </c>
      <c r="E1747" s="3">
        <v>0.8340277777777777</v>
      </c>
      <c r="F1747" s="4"/>
      <c r="G1747" s="4"/>
      <c r="H1747" s="3">
        <v>0.375</v>
      </c>
      <c r="I1747" s="3">
        <v>0.375</v>
      </c>
      <c r="J1747" s="4"/>
      <c r="K1747" s="4"/>
      <c r="L1747" s="4"/>
      <c r="M1747" s="4"/>
      <c r="N1747" s="4"/>
      <c r="O1747" s="4"/>
      <c r="P1747" s="4"/>
    </row>
    <row r="1748" spans="1:16" x14ac:dyDescent="0.25">
      <c r="A1748" s="4" t="s">
        <v>260</v>
      </c>
      <c r="B1748" s="4" t="s">
        <v>25</v>
      </c>
      <c r="C1748" s="4" t="s">
        <v>25</v>
      </c>
      <c r="D1748" s="4" t="s">
        <v>25</v>
      </c>
      <c r="E1748" s="4" t="s">
        <v>25</v>
      </c>
      <c r="F1748" s="4" t="s">
        <v>25</v>
      </c>
      <c r="G1748" s="4" t="s">
        <v>25</v>
      </c>
      <c r="H1748" s="4"/>
      <c r="I1748" s="4"/>
      <c r="J1748" s="4"/>
      <c r="K1748" s="4"/>
      <c r="L1748" s="4"/>
      <c r="M1748" s="4"/>
      <c r="N1748" s="4"/>
      <c r="O1748" s="4"/>
      <c r="P1748" s="4"/>
    </row>
    <row r="1749" spans="1:16" x14ac:dyDescent="0.25">
      <c r="A1749" s="4" t="s">
        <v>261</v>
      </c>
      <c r="B1749" s="4" t="s">
        <v>25</v>
      </c>
      <c r="C1749" s="4" t="s">
        <v>25</v>
      </c>
      <c r="D1749" s="4" t="s">
        <v>25</v>
      </c>
      <c r="E1749" s="4" t="s">
        <v>25</v>
      </c>
      <c r="F1749" s="4" t="s">
        <v>25</v>
      </c>
      <c r="G1749" s="4" t="s">
        <v>25</v>
      </c>
      <c r="H1749" s="4"/>
      <c r="I1749" s="4"/>
      <c r="J1749" s="4"/>
      <c r="K1749" s="4"/>
      <c r="L1749" s="4"/>
      <c r="M1749" s="4"/>
      <c r="N1749" s="4"/>
      <c r="O1749" s="4"/>
      <c r="P1749" s="4"/>
    </row>
    <row r="1750" spans="1:16" x14ac:dyDescent="0.25">
      <c r="A1750" s="4" t="s">
        <v>262</v>
      </c>
      <c r="B1750" s="3">
        <v>0.42708333333333331</v>
      </c>
      <c r="C1750" s="3">
        <v>0.55902777777777779</v>
      </c>
      <c r="D1750" s="3">
        <v>0.59930555555555554</v>
      </c>
      <c r="E1750" s="3">
        <v>0.7944444444444444</v>
      </c>
      <c r="F1750" s="4"/>
      <c r="G1750" s="4"/>
      <c r="H1750" s="3">
        <v>0.33333333333333331</v>
      </c>
      <c r="I1750" s="3">
        <v>0.32430555555555557</v>
      </c>
      <c r="J1750" s="4"/>
      <c r="K1750" s="4"/>
      <c r="L1750" s="4"/>
      <c r="M1750" s="4"/>
      <c r="N1750" s="4"/>
      <c r="O1750" s="3">
        <v>9.0277777777777787E-3</v>
      </c>
      <c r="P1750" s="4"/>
    </row>
    <row r="1751" spans="1:16" x14ac:dyDescent="0.25">
      <c r="A1751" s="4" t="s">
        <v>263</v>
      </c>
      <c r="B1751" s="3">
        <v>0.41736111111111113</v>
      </c>
      <c r="C1751" s="3">
        <v>0.54305555555555551</v>
      </c>
      <c r="D1751" s="3">
        <v>0.58680555555555558</v>
      </c>
      <c r="E1751" s="3">
        <v>0.84027777777777779</v>
      </c>
      <c r="F1751" s="4"/>
      <c r="G1751" s="4"/>
      <c r="H1751" s="3">
        <v>0.375</v>
      </c>
      <c r="I1751" s="3">
        <v>0.375</v>
      </c>
      <c r="J1751" s="4"/>
      <c r="K1751" s="4"/>
      <c r="L1751" s="4"/>
      <c r="M1751" s="4"/>
      <c r="N1751" s="4"/>
      <c r="O1751" s="4"/>
      <c r="P1751" s="3">
        <v>6.9444444444444441E-3</v>
      </c>
    </row>
    <row r="1752" spans="1:16" x14ac:dyDescent="0.25">
      <c r="A1752" s="4" t="s">
        <v>264</v>
      </c>
      <c r="B1752" s="3">
        <v>0.43888888888888888</v>
      </c>
      <c r="C1752" s="3">
        <v>0.56874999999999998</v>
      </c>
      <c r="D1752" s="3">
        <v>0.61319444444444449</v>
      </c>
      <c r="E1752" s="3">
        <v>0.83333333333333337</v>
      </c>
      <c r="F1752" s="4"/>
      <c r="G1752" s="4"/>
      <c r="H1752" s="3">
        <v>0.375</v>
      </c>
      <c r="I1752" s="3">
        <v>0.35000000000000003</v>
      </c>
      <c r="J1752" s="4"/>
      <c r="K1752" s="4"/>
      <c r="L1752" s="4"/>
      <c r="M1752" s="4"/>
      <c r="N1752" s="4"/>
      <c r="O1752" s="3">
        <v>2.4999999999999998E-2</v>
      </c>
      <c r="P1752" s="4"/>
    </row>
    <row r="1754" spans="1:16" x14ac:dyDescent="0.25">
      <c r="A1754" s="7" t="s">
        <v>45</v>
      </c>
    </row>
    <row r="1757" spans="1:16" x14ac:dyDescent="0.25">
      <c r="A1757" s="7" t="s">
        <v>46</v>
      </c>
    </row>
    <row r="1758" spans="1:16" x14ac:dyDescent="0.25">
      <c r="A1758" s="7" t="s">
        <v>108</v>
      </c>
      <c r="F1758" s="7" t="s">
        <v>47</v>
      </c>
    </row>
    <row r="1759" spans="1:16" x14ac:dyDescent="0.25">
      <c r="F1759" s="7"/>
    </row>
    <row r="1763" spans="1:16" x14ac:dyDescent="0.25">
      <c r="G1763" s="1" t="s">
        <v>18</v>
      </c>
    </row>
    <row r="1764" spans="1:16" x14ac:dyDescent="0.25">
      <c r="A1764" s="1" t="s">
        <v>1</v>
      </c>
      <c r="B1764" t="s">
        <v>2</v>
      </c>
      <c r="H1764" s="1" t="s">
        <v>19</v>
      </c>
      <c r="I1764" s="1" t="s">
        <v>20</v>
      </c>
      <c r="J1764" s="1" t="s">
        <v>21</v>
      </c>
      <c r="K1764" s="1" t="s">
        <v>22</v>
      </c>
      <c r="L1764" s="1" t="s">
        <v>23</v>
      </c>
      <c r="M1764" s="1" t="s">
        <v>24</v>
      </c>
    </row>
    <row r="1765" spans="1:16" x14ac:dyDescent="0.25">
      <c r="A1765" s="1" t="s">
        <v>3</v>
      </c>
      <c r="B1765" t="s">
        <v>4</v>
      </c>
      <c r="G1765" s="1" t="s">
        <v>220</v>
      </c>
      <c r="H1765" s="3">
        <v>0.375</v>
      </c>
      <c r="I1765" s="3">
        <v>0.5</v>
      </c>
      <c r="J1765" s="3">
        <v>0.54166666666666663</v>
      </c>
      <c r="K1765" s="3">
        <v>0.75</v>
      </c>
      <c r="L1765" s="4"/>
      <c r="M1765" s="4"/>
    </row>
    <row r="1766" spans="1:16" x14ac:dyDescent="0.25">
      <c r="A1766" s="1" t="s">
        <v>5</v>
      </c>
      <c r="B1766" t="s">
        <v>6</v>
      </c>
      <c r="G1766" s="1" t="s">
        <v>221</v>
      </c>
      <c r="H1766" s="3">
        <v>0.375</v>
      </c>
      <c r="I1766" s="3">
        <v>0.5</v>
      </c>
      <c r="J1766" s="3">
        <v>0.54166666666666663</v>
      </c>
      <c r="K1766" s="3">
        <v>0.79166666666666663</v>
      </c>
      <c r="L1766" s="4"/>
      <c r="M1766" s="4"/>
    </row>
    <row r="1767" spans="1:16" x14ac:dyDescent="0.25">
      <c r="G1767" s="1" t="s">
        <v>222</v>
      </c>
      <c r="H1767" s="3">
        <v>0.375</v>
      </c>
      <c r="I1767" s="3">
        <v>0.5</v>
      </c>
      <c r="J1767" s="3">
        <v>0.54166666666666663</v>
      </c>
      <c r="K1767" s="3">
        <v>0.79166666666666663</v>
      </c>
      <c r="L1767" s="4"/>
      <c r="M1767" s="4"/>
    </row>
    <row r="1768" spans="1:16" x14ac:dyDescent="0.25">
      <c r="A1768" s="1" t="s">
        <v>7</v>
      </c>
      <c r="B1768" t="s">
        <v>110</v>
      </c>
      <c r="G1768" s="1" t="s">
        <v>223</v>
      </c>
      <c r="H1768" s="3">
        <v>0.375</v>
      </c>
      <c r="I1768" s="3">
        <v>0.5</v>
      </c>
      <c r="J1768" s="3">
        <v>0.54166666666666663</v>
      </c>
      <c r="K1768" s="3">
        <v>0.79166666666666663</v>
      </c>
      <c r="L1768" s="4"/>
      <c r="M1768" s="4"/>
    </row>
    <row r="1769" spans="1:16" x14ac:dyDescent="0.25">
      <c r="A1769" s="1" t="s">
        <v>9</v>
      </c>
      <c r="B1769" t="s">
        <v>111</v>
      </c>
      <c r="D1769" s="1" t="s">
        <v>11</v>
      </c>
      <c r="E1769" t="s">
        <v>111</v>
      </c>
      <c r="G1769" s="1" t="s">
        <v>224</v>
      </c>
      <c r="H1769" s="3">
        <v>0.375</v>
      </c>
      <c r="I1769" s="3">
        <v>0.5</v>
      </c>
      <c r="J1769" s="3">
        <v>0.54166666666666663</v>
      </c>
      <c r="K1769" s="3">
        <v>0.79166666666666663</v>
      </c>
      <c r="L1769" s="4"/>
      <c r="M1769" s="4"/>
    </row>
    <row r="1770" spans="1:16" x14ac:dyDescent="0.25">
      <c r="A1770" s="1" t="s">
        <v>12</v>
      </c>
      <c r="D1770" s="1" t="s">
        <v>13</v>
      </c>
      <c r="E1770" s="2">
        <v>42506</v>
      </c>
      <c r="G1770" s="1" t="s">
        <v>225</v>
      </c>
      <c r="H1770" s="4" t="s">
        <v>25</v>
      </c>
      <c r="I1770" s="4" t="s">
        <v>25</v>
      </c>
      <c r="J1770" s="4" t="s">
        <v>25</v>
      </c>
      <c r="K1770" s="4" t="s">
        <v>25</v>
      </c>
      <c r="L1770" s="4" t="s">
        <v>25</v>
      </c>
      <c r="M1770" s="4" t="s">
        <v>25</v>
      </c>
    </row>
    <row r="1771" spans="1:16" x14ac:dyDescent="0.25">
      <c r="A1771" s="1" t="s">
        <v>14</v>
      </c>
      <c r="B1771" t="s">
        <v>58</v>
      </c>
      <c r="G1771" s="1" t="s">
        <v>226</v>
      </c>
      <c r="H1771" s="4" t="s">
        <v>25</v>
      </c>
      <c r="I1771" s="4" t="s">
        <v>25</v>
      </c>
      <c r="J1771" s="4" t="s">
        <v>25</v>
      </c>
      <c r="K1771" s="4" t="s">
        <v>25</v>
      </c>
      <c r="L1771" s="4" t="s">
        <v>25</v>
      </c>
      <c r="M1771" s="4" t="s">
        <v>25</v>
      </c>
    </row>
    <row r="1772" spans="1:16" x14ac:dyDescent="0.25">
      <c r="A1772" s="1" t="s">
        <v>16</v>
      </c>
      <c r="B1772" t="s">
        <v>17</v>
      </c>
    </row>
    <row r="1775" spans="1:16" x14ac:dyDescent="0.25">
      <c r="A1775" s="5" t="s">
        <v>26</v>
      </c>
      <c r="B1775" s="5" t="s">
        <v>27</v>
      </c>
      <c r="C1775" s="5" t="s">
        <v>28</v>
      </c>
      <c r="D1775" s="5" t="s">
        <v>29</v>
      </c>
      <c r="E1775" s="5" t="s">
        <v>30</v>
      </c>
      <c r="F1775" s="5" t="s">
        <v>31</v>
      </c>
      <c r="G1775" s="5" t="s">
        <v>32</v>
      </c>
      <c r="H1775" s="5" t="s">
        <v>33</v>
      </c>
      <c r="I1775" s="5" t="s">
        <v>34</v>
      </c>
      <c r="J1775" s="5" t="s">
        <v>35</v>
      </c>
      <c r="K1775" s="5" t="s">
        <v>36</v>
      </c>
      <c r="L1775" s="5" t="s">
        <v>37</v>
      </c>
      <c r="M1775" s="5" t="s">
        <v>38</v>
      </c>
      <c r="N1775" s="5" t="s">
        <v>39</v>
      </c>
      <c r="O1775" s="5" t="s">
        <v>40</v>
      </c>
      <c r="P1775" s="5" t="s">
        <v>41</v>
      </c>
    </row>
    <row r="1776" spans="1:16" x14ac:dyDescent="0.25">
      <c r="A1776" s="4"/>
      <c r="B1776" s="4"/>
      <c r="C1776" s="4"/>
      <c r="D1776" s="4"/>
      <c r="E1776" s="4"/>
      <c r="F1776" s="4"/>
      <c r="G1776" s="4"/>
      <c r="H1776" s="6">
        <v>8.0416666666666661</v>
      </c>
      <c r="I1776" s="6">
        <v>8.0187499999999989</v>
      </c>
      <c r="J1776" s="6">
        <v>3.2916666666666665</v>
      </c>
      <c r="K1776" s="3">
        <v>0</v>
      </c>
      <c r="L1776" s="3">
        <v>0</v>
      </c>
      <c r="M1776" s="3">
        <v>0</v>
      </c>
      <c r="N1776" s="3">
        <v>0</v>
      </c>
      <c r="O1776" s="3">
        <v>2.2916666666666669E-2</v>
      </c>
      <c r="P1776" s="3">
        <v>0</v>
      </c>
    </row>
    <row r="1777" spans="1:16" x14ac:dyDescent="0.25">
      <c r="A1777" s="4" t="s">
        <v>227</v>
      </c>
      <c r="B1777" s="3">
        <v>0.38472222222222219</v>
      </c>
      <c r="C1777" s="3">
        <v>0.54861111111111105</v>
      </c>
      <c r="D1777" s="3">
        <v>0.58958333333333335</v>
      </c>
      <c r="E1777" s="3">
        <v>0.75069444444444444</v>
      </c>
      <c r="F1777" s="4"/>
      <c r="G1777" s="4"/>
      <c r="H1777" s="3">
        <v>0.33333333333333331</v>
      </c>
      <c r="I1777" s="3">
        <v>0.32430555555555557</v>
      </c>
      <c r="J1777" s="4"/>
      <c r="K1777" s="4"/>
      <c r="L1777" s="4"/>
      <c r="M1777" s="4"/>
      <c r="N1777" s="4"/>
      <c r="O1777" s="3">
        <v>9.0277777777777787E-3</v>
      </c>
      <c r="P1777" s="4"/>
    </row>
    <row r="1778" spans="1:16" x14ac:dyDescent="0.25">
      <c r="A1778" s="4" t="s">
        <v>228</v>
      </c>
      <c r="B1778" s="3">
        <v>0.3756944444444445</v>
      </c>
      <c r="C1778" s="3">
        <v>0.52222222222222225</v>
      </c>
      <c r="D1778" s="3">
        <v>0.56041666666666667</v>
      </c>
      <c r="E1778" s="3">
        <v>0.79236111111111107</v>
      </c>
      <c r="F1778" s="4"/>
      <c r="G1778" s="4"/>
      <c r="H1778" s="3">
        <v>0.375</v>
      </c>
      <c r="I1778" s="3">
        <v>0.375</v>
      </c>
      <c r="J1778" s="4"/>
      <c r="K1778" s="4"/>
      <c r="L1778" s="4"/>
      <c r="M1778" s="4"/>
      <c r="N1778" s="4"/>
      <c r="O1778" s="4"/>
      <c r="P1778" s="4"/>
    </row>
    <row r="1779" spans="1:16" x14ac:dyDescent="0.25">
      <c r="A1779" s="4" t="s">
        <v>229</v>
      </c>
      <c r="B1779" s="3">
        <v>0.37361111111111112</v>
      </c>
      <c r="C1779" s="3">
        <v>0.5493055555555556</v>
      </c>
      <c r="D1779" s="3">
        <v>0.58888888888888891</v>
      </c>
      <c r="E1779" s="3">
        <v>0.79305555555555562</v>
      </c>
      <c r="F1779" s="4"/>
      <c r="G1779" s="4"/>
      <c r="H1779" s="3">
        <v>0.375</v>
      </c>
      <c r="I1779" s="3">
        <v>0.375</v>
      </c>
      <c r="J1779" s="4"/>
      <c r="K1779" s="4"/>
      <c r="L1779" s="4"/>
      <c r="M1779" s="4"/>
      <c r="N1779" s="4"/>
      <c r="O1779" s="4"/>
      <c r="P1779" s="4"/>
    </row>
    <row r="1780" spans="1:16" x14ac:dyDescent="0.25">
      <c r="A1780" s="4" t="s">
        <v>230</v>
      </c>
      <c r="B1780" s="3">
        <v>0.37777777777777777</v>
      </c>
      <c r="C1780" s="3">
        <v>0.54861111111111105</v>
      </c>
      <c r="D1780" s="3">
        <v>0.58958333333333335</v>
      </c>
      <c r="E1780" s="3">
        <v>0.79236111111111107</v>
      </c>
      <c r="F1780" s="4"/>
      <c r="G1780" s="4"/>
      <c r="H1780" s="3">
        <v>0.375</v>
      </c>
      <c r="I1780" s="3">
        <v>0.375</v>
      </c>
      <c r="J1780" s="4"/>
      <c r="K1780" s="4"/>
      <c r="L1780" s="4"/>
      <c r="M1780" s="4"/>
      <c r="N1780" s="4"/>
      <c r="O1780" s="4"/>
      <c r="P1780" s="4"/>
    </row>
    <row r="1781" spans="1:16" x14ac:dyDescent="0.25">
      <c r="A1781" s="4" t="s">
        <v>231</v>
      </c>
      <c r="B1781" s="3">
        <v>0.37708333333333338</v>
      </c>
      <c r="C1781" s="3">
        <v>0.54791666666666672</v>
      </c>
      <c r="D1781" s="3">
        <v>0.58958333333333335</v>
      </c>
      <c r="E1781" s="3">
        <v>0.79166666666666663</v>
      </c>
      <c r="F1781" s="4"/>
      <c r="G1781" s="4"/>
      <c r="H1781" s="3">
        <v>0.375</v>
      </c>
      <c r="I1781" s="3">
        <v>0.375</v>
      </c>
      <c r="J1781" s="4"/>
      <c r="K1781" s="4"/>
      <c r="L1781" s="4"/>
      <c r="M1781" s="4"/>
      <c r="N1781" s="4"/>
      <c r="O1781" s="4"/>
      <c r="P1781" s="4"/>
    </row>
    <row r="1782" spans="1:16" x14ac:dyDescent="0.25">
      <c r="A1782" s="4" t="s">
        <v>232</v>
      </c>
      <c r="B1782" s="4" t="s">
        <v>25</v>
      </c>
      <c r="C1782" s="4" t="s">
        <v>25</v>
      </c>
      <c r="D1782" s="4" t="s">
        <v>25</v>
      </c>
      <c r="E1782" s="4" t="s">
        <v>25</v>
      </c>
      <c r="F1782" s="4" t="s">
        <v>25</v>
      </c>
      <c r="G1782" s="4" t="s">
        <v>25</v>
      </c>
      <c r="H1782" s="4"/>
      <c r="I1782" s="4"/>
      <c r="J1782" s="4"/>
      <c r="K1782" s="4"/>
      <c r="L1782" s="4"/>
      <c r="M1782" s="4"/>
      <c r="N1782" s="4"/>
      <c r="O1782" s="4"/>
      <c r="P1782" s="4"/>
    </row>
    <row r="1783" spans="1:16" x14ac:dyDescent="0.25">
      <c r="A1783" s="4" t="s">
        <v>233</v>
      </c>
      <c r="B1783" s="4" t="s">
        <v>25</v>
      </c>
      <c r="C1783" s="4" t="s">
        <v>25</v>
      </c>
      <c r="D1783" s="4" t="s">
        <v>25</v>
      </c>
      <c r="E1783" s="4" t="s">
        <v>25</v>
      </c>
      <c r="F1783" s="4" t="s">
        <v>25</v>
      </c>
      <c r="G1783" s="4" t="s">
        <v>25</v>
      </c>
      <c r="H1783" s="4"/>
      <c r="I1783" s="4"/>
      <c r="J1783" s="4"/>
      <c r="K1783" s="4"/>
      <c r="L1783" s="4"/>
      <c r="M1783" s="4"/>
      <c r="N1783" s="4"/>
      <c r="O1783" s="4"/>
      <c r="P1783" s="4"/>
    </row>
    <row r="1784" spans="1:16" x14ac:dyDescent="0.25">
      <c r="A1784" s="4" t="s">
        <v>234</v>
      </c>
      <c r="B1784" s="3">
        <v>0.37916666666666665</v>
      </c>
      <c r="C1784" s="3">
        <v>0.54236111111111118</v>
      </c>
      <c r="D1784" s="3">
        <v>0.58194444444444449</v>
      </c>
      <c r="E1784" s="3">
        <v>0.75208333333333333</v>
      </c>
      <c r="F1784" s="4"/>
      <c r="G1784" s="4"/>
      <c r="H1784" s="3">
        <v>0.33333333333333331</v>
      </c>
      <c r="I1784" s="3">
        <v>0.33333333333333331</v>
      </c>
      <c r="J1784" s="4"/>
      <c r="K1784" s="4"/>
      <c r="L1784" s="4"/>
      <c r="M1784" s="4"/>
      <c r="N1784" s="4"/>
      <c r="O1784" s="4"/>
      <c r="P1784" s="4"/>
    </row>
    <row r="1785" spans="1:16" x14ac:dyDescent="0.25">
      <c r="A1785" s="4" t="s">
        <v>235</v>
      </c>
      <c r="B1785" s="3">
        <v>0.375</v>
      </c>
      <c r="C1785" s="3">
        <v>0.55833333333333335</v>
      </c>
      <c r="D1785" s="3">
        <v>0.59930555555555554</v>
      </c>
      <c r="E1785" s="3">
        <v>0.79166666666666663</v>
      </c>
      <c r="F1785" s="4"/>
      <c r="G1785" s="4"/>
      <c r="H1785" s="3">
        <v>0.375</v>
      </c>
      <c r="I1785" s="3">
        <v>0.375</v>
      </c>
      <c r="J1785" s="4"/>
      <c r="K1785" s="4"/>
      <c r="L1785" s="4"/>
      <c r="M1785" s="4"/>
      <c r="N1785" s="4"/>
      <c r="O1785" s="4"/>
      <c r="P1785" s="4"/>
    </row>
    <row r="1786" spans="1:16" x14ac:dyDescent="0.25">
      <c r="A1786" s="4" t="s">
        <v>236</v>
      </c>
      <c r="B1786" s="3">
        <v>0.37777777777777777</v>
      </c>
      <c r="C1786" s="3">
        <v>0.54236111111111118</v>
      </c>
      <c r="D1786" s="3">
        <v>0.58263888888888882</v>
      </c>
      <c r="E1786" s="3">
        <v>0.79236111111111107</v>
      </c>
      <c r="F1786" s="4"/>
      <c r="G1786" s="4"/>
      <c r="H1786" s="3">
        <v>0.375</v>
      </c>
      <c r="I1786" s="3">
        <v>0.375</v>
      </c>
      <c r="J1786" s="4"/>
      <c r="K1786" s="4"/>
      <c r="L1786" s="4"/>
      <c r="M1786" s="4"/>
      <c r="N1786" s="4"/>
      <c r="O1786" s="4"/>
      <c r="P1786" s="4"/>
    </row>
    <row r="1787" spans="1:16" x14ac:dyDescent="0.25">
      <c r="A1787" s="4" t="s">
        <v>237</v>
      </c>
      <c r="B1787" s="3">
        <v>0.37291666666666662</v>
      </c>
      <c r="C1787" s="3">
        <v>0.54791666666666672</v>
      </c>
      <c r="D1787" s="3">
        <v>0.59166666666666667</v>
      </c>
      <c r="E1787" s="3">
        <v>0.79236111111111107</v>
      </c>
      <c r="F1787" s="4"/>
      <c r="G1787" s="4"/>
      <c r="H1787" s="3">
        <v>0.375</v>
      </c>
      <c r="I1787" s="3">
        <v>0.375</v>
      </c>
      <c r="J1787" s="4"/>
      <c r="K1787" s="4"/>
      <c r="L1787" s="4"/>
      <c r="M1787" s="4"/>
      <c r="N1787" s="4"/>
      <c r="O1787" s="4"/>
      <c r="P1787" s="4"/>
    </row>
    <row r="1788" spans="1:16" x14ac:dyDescent="0.25">
      <c r="A1788" s="4" t="s">
        <v>238</v>
      </c>
      <c r="B1788" s="3">
        <v>0.375</v>
      </c>
      <c r="C1788" s="3">
        <v>0.56874999999999998</v>
      </c>
      <c r="D1788" s="3">
        <v>0.60972222222222217</v>
      </c>
      <c r="E1788" s="3">
        <v>0.79166666666666663</v>
      </c>
      <c r="F1788" s="4"/>
      <c r="G1788" s="4"/>
      <c r="H1788" s="3">
        <v>0.375</v>
      </c>
      <c r="I1788" s="3">
        <v>0.375</v>
      </c>
      <c r="J1788" s="4"/>
      <c r="K1788" s="4"/>
      <c r="L1788" s="4"/>
      <c r="M1788" s="4"/>
      <c r="N1788" s="4"/>
      <c r="O1788" s="4"/>
      <c r="P1788" s="4"/>
    </row>
    <row r="1789" spans="1:16" x14ac:dyDescent="0.25">
      <c r="A1789" s="4" t="s">
        <v>239</v>
      </c>
      <c r="B1789" s="4" t="s">
        <v>25</v>
      </c>
      <c r="C1789" s="4" t="s">
        <v>25</v>
      </c>
      <c r="D1789" s="4" t="s">
        <v>25</v>
      </c>
      <c r="E1789" s="4" t="s">
        <v>25</v>
      </c>
      <c r="F1789" s="4" t="s">
        <v>25</v>
      </c>
      <c r="G1789" s="4" t="s">
        <v>25</v>
      </c>
      <c r="H1789" s="4"/>
      <c r="I1789" s="4"/>
      <c r="J1789" s="4"/>
      <c r="K1789" s="4"/>
      <c r="L1789" s="4"/>
      <c r="M1789" s="4"/>
      <c r="N1789" s="4"/>
      <c r="O1789" s="4"/>
      <c r="P1789" s="4"/>
    </row>
    <row r="1790" spans="1:16" x14ac:dyDescent="0.25">
      <c r="A1790" s="4" t="s">
        <v>240</v>
      </c>
      <c r="B1790" s="4" t="s">
        <v>25</v>
      </c>
      <c r="C1790" s="4" t="s">
        <v>25</v>
      </c>
      <c r="D1790" s="4" t="s">
        <v>25</v>
      </c>
      <c r="E1790" s="4" t="s">
        <v>25</v>
      </c>
      <c r="F1790" s="4" t="s">
        <v>25</v>
      </c>
      <c r="G1790" s="4" t="s">
        <v>25</v>
      </c>
      <c r="H1790" s="4"/>
      <c r="I1790" s="4"/>
      <c r="J1790" s="4"/>
      <c r="K1790" s="4"/>
      <c r="L1790" s="4"/>
      <c r="M1790" s="4"/>
      <c r="N1790" s="4"/>
      <c r="O1790" s="4"/>
      <c r="P1790" s="4"/>
    </row>
    <row r="1791" spans="1:16" x14ac:dyDescent="0.25">
      <c r="A1791" s="4" t="s">
        <v>241</v>
      </c>
      <c r="B1791" s="3">
        <v>0.37361111111111112</v>
      </c>
      <c r="C1791" s="3">
        <v>0.5625</v>
      </c>
      <c r="D1791" s="3">
        <v>0.60138888888888886</v>
      </c>
      <c r="E1791" s="3">
        <v>0.75208333333333333</v>
      </c>
      <c r="F1791" s="4"/>
      <c r="G1791" s="4"/>
      <c r="H1791" s="3">
        <v>0.33333333333333331</v>
      </c>
      <c r="I1791" s="3">
        <v>0.33333333333333331</v>
      </c>
      <c r="J1791" s="4"/>
      <c r="K1791" s="4"/>
      <c r="L1791" s="4"/>
      <c r="M1791" s="4"/>
      <c r="N1791" s="4"/>
      <c r="O1791" s="4"/>
      <c r="P1791" s="4"/>
    </row>
    <row r="1792" spans="1:16" x14ac:dyDescent="0.25">
      <c r="A1792" s="4" t="s">
        <v>242</v>
      </c>
      <c r="B1792" s="3">
        <v>0.37361111111111112</v>
      </c>
      <c r="C1792" s="3">
        <v>0.54999999999999993</v>
      </c>
      <c r="D1792" s="3">
        <v>0.58958333333333335</v>
      </c>
      <c r="E1792" s="3">
        <v>0.79236111111111107</v>
      </c>
      <c r="F1792" s="4"/>
      <c r="G1792" s="4"/>
      <c r="H1792" s="3">
        <v>0.375</v>
      </c>
      <c r="I1792" s="3">
        <v>0.375</v>
      </c>
      <c r="J1792" s="4"/>
      <c r="K1792" s="4"/>
      <c r="L1792" s="4"/>
      <c r="M1792" s="4"/>
      <c r="N1792" s="4"/>
      <c r="O1792" s="4"/>
      <c r="P1792" s="4"/>
    </row>
    <row r="1793" spans="1:16" x14ac:dyDescent="0.25">
      <c r="A1793" s="4" t="s">
        <v>243</v>
      </c>
      <c r="B1793" s="3">
        <v>0.37291666666666662</v>
      </c>
      <c r="C1793" s="3">
        <v>0.55833333333333335</v>
      </c>
      <c r="D1793" s="3">
        <v>0.61388888888888882</v>
      </c>
      <c r="E1793" s="3">
        <v>0.79305555555555562</v>
      </c>
      <c r="F1793" s="4"/>
      <c r="G1793" s="4"/>
      <c r="H1793" s="3">
        <v>0.375</v>
      </c>
      <c r="I1793" s="3">
        <v>0.3611111111111111</v>
      </c>
      <c r="J1793" s="4"/>
      <c r="K1793" s="4"/>
      <c r="L1793" s="4"/>
      <c r="M1793" s="4"/>
      <c r="N1793" s="4"/>
      <c r="O1793" s="3">
        <v>1.3888888888888888E-2</v>
      </c>
      <c r="P1793" s="4"/>
    </row>
    <row r="1794" spans="1:16" x14ac:dyDescent="0.25">
      <c r="A1794" s="4" t="s">
        <v>244</v>
      </c>
      <c r="B1794" s="4" t="s">
        <v>265</v>
      </c>
      <c r="C1794" s="4" t="s">
        <v>265</v>
      </c>
      <c r="D1794" s="4" t="s">
        <v>265</v>
      </c>
      <c r="E1794" s="4" t="s">
        <v>265</v>
      </c>
      <c r="F1794" s="4"/>
      <c r="G1794" s="4"/>
      <c r="H1794" s="4"/>
      <c r="I1794" s="4"/>
      <c r="J1794" s="4"/>
      <c r="K1794" s="4"/>
      <c r="L1794" s="4"/>
      <c r="M1794" s="4"/>
      <c r="N1794" s="4"/>
      <c r="O1794" s="4"/>
      <c r="P1794" s="4"/>
    </row>
    <row r="1795" spans="1:16" x14ac:dyDescent="0.25">
      <c r="A1795" s="4" t="s">
        <v>245</v>
      </c>
      <c r="B1795" s="4" t="s">
        <v>265</v>
      </c>
      <c r="C1795" s="4" t="s">
        <v>265</v>
      </c>
      <c r="D1795" s="4" t="s">
        <v>265</v>
      </c>
      <c r="E1795" s="4" t="s">
        <v>265</v>
      </c>
      <c r="F1795" s="4"/>
      <c r="G1795" s="4"/>
      <c r="H1795" s="3">
        <v>0.375</v>
      </c>
      <c r="I1795" s="3">
        <v>0.375</v>
      </c>
      <c r="J1795" s="3">
        <v>0.375</v>
      </c>
      <c r="K1795" s="4"/>
      <c r="L1795" s="4"/>
      <c r="M1795" s="4"/>
      <c r="N1795" s="4"/>
      <c r="O1795" s="4"/>
      <c r="P1795" s="4"/>
    </row>
    <row r="1796" spans="1:16" x14ac:dyDescent="0.25">
      <c r="A1796" s="4" t="s">
        <v>246</v>
      </c>
      <c r="B1796" s="4" t="s">
        <v>25</v>
      </c>
      <c r="C1796" s="4" t="s">
        <v>25</v>
      </c>
      <c r="D1796" s="4" t="s">
        <v>25</v>
      </c>
      <c r="E1796" s="4" t="s">
        <v>25</v>
      </c>
      <c r="F1796" s="4" t="s">
        <v>25</v>
      </c>
      <c r="G1796" s="4" t="s">
        <v>25</v>
      </c>
      <c r="H1796" s="4"/>
      <c r="I1796" s="4"/>
      <c r="J1796" s="4"/>
      <c r="K1796" s="4"/>
      <c r="L1796" s="4"/>
      <c r="M1796" s="4"/>
      <c r="N1796" s="4"/>
      <c r="O1796" s="4"/>
      <c r="P1796" s="4"/>
    </row>
    <row r="1797" spans="1:16" x14ac:dyDescent="0.25">
      <c r="A1797" s="4" t="s">
        <v>247</v>
      </c>
      <c r="B1797" s="4" t="s">
        <v>25</v>
      </c>
      <c r="C1797" s="4" t="s">
        <v>25</v>
      </c>
      <c r="D1797" s="4" t="s">
        <v>25</v>
      </c>
      <c r="E1797" s="4" t="s">
        <v>25</v>
      </c>
      <c r="F1797" s="4" t="s">
        <v>25</v>
      </c>
      <c r="G1797" s="4" t="s">
        <v>25</v>
      </c>
      <c r="H1797" s="4"/>
      <c r="I1797" s="4"/>
      <c r="J1797" s="4"/>
      <c r="K1797" s="4"/>
      <c r="L1797" s="4"/>
      <c r="M1797" s="4"/>
      <c r="N1797" s="4"/>
      <c r="O1797" s="4"/>
      <c r="P1797" s="4"/>
    </row>
    <row r="1798" spans="1:16" x14ac:dyDescent="0.25">
      <c r="A1798" s="4" t="s">
        <v>248</v>
      </c>
      <c r="B1798" s="4" t="s">
        <v>55</v>
      </c>
      <c r="C1798" s="4" t="s">
        <v>55</v>
      </c>
      <c r="D1798" s="4" t="s">
        <v>55</v>
      </c>
      <c r="E1798" s="4" t="s">
        <v>55</v>
      </c>
      <c r="F1798" s="4"/>
      <c r="G1798" s="4"/>
      <c r="H1798" s="3">
        <v>0.33333333333333331</v>
      </c>
      <c r="I1798" s="3">
        <v>0.33333333333333331</v>
      </c>
      <c r="J1798" s="3">
        <v>0.33333333333333331</v>
      </c>
      <c r="K1798" s="4"/>
      <c r="L1798" s="4"/>
      <c r="M1798" s="4"/>
      <c r="N1798" s="4"/>
      <c r="O1798" s="4"/>
      <c r="P1798" s="4"/>
    </row>
    <row r="1799" spans="1:16" x14ac:dyDescent="0.25">
      <c r="A1799" s="4" t="s">
        <v>249</v>
      </c>
      <c r="B1799" s="4" t="s">
        <v>55</v>
      </c>
      <c r="C1799" s="4" t="s">
        <v>55</v>
      </c>
      <c r="D1799" s="4" t="s">
        <v>55</v>
      </c>
      <c r="E1799" s="4" t="s">
        <v>55</v>
      </c>
      <c r="F1799" s="4"/>
      <c r="G1799" s="4"/>
      <c r="H1799" s="3">
        <v>0.375</v>
      </c>
      <c r="I1799" s="3">
        <v>0.375</v>
      </c>
      <c r="J1799" s="3">
        <v>0.375</v>
      </c>
      <c r="K1799" s="4"/>
      <c r="L1799" s="4"/>
      <c r="M1799" s="4"/>
      <c r="N1799" s="4"/>
      <c r="O1799" s="4"/>
      <c r="P1799" s="4"/>
    </row>
    <row r="1800" spans="1:16" x14ac:dyDescent="0.25">
      <c r="A1800" s="4" t="s">
        <v>251</v>
      </c>
      <c r="B1800" s="4" t="s">
        <v>55</v>
      </c>
      <c r="C1800" s="4" t="s">
        <v>55</v>
      </c>
      <c r="D1800" s="4" t="s">
        <v>55</v>
      </c>
      <c r="E1800" s="4" t="s">
        <v>55</v>
      </c>
      <c r="F1800" s="4"/>
      <c r="G1800" s="4"/>
      <c r="H1800" s="3">
        <v>0.375</v>
      </c>
      <c r="I1800" s="3">
        <v>0.375</v>
      </c>
      <c r="J1800" s="3">
        <v>0.375</v>
      </c>
      <c r="K1800" s="4"/>
      <c r="L1800" s="4"/>
      <c r="M1800" s="4"/>
      <c r="N1800" s="4"/>
      <c r="O1800" s="4"/>
      <c r="P1800" s="4"/>
    </row>
    <row r="1801" spans="1:16" x14ac:dyDescent="0.25">
      <c r="A1801" s="4" t="s">
        <v>256</v>
      </c>
      <c r="B1801" s="4" t="s">
        <v>55</v>
      </c>
      <c r="C1801" s="4" t="s">
        <v>55</v>
      </c>
      <c r="D1801" s="4" t="s">
        <v>55</v>
      </c>
      <c r="E1801" s="4" t="s">
        <v>55</v>
      </c>
      <c r="F1801" s="4"/>
      <c r="G1801" s="4"/>
      <c r="H1801" s="3">
        <v>0.375</v>
      </c>
      <c r="I1801" s="3">
        <v>0.375</v>
      </c>
      <c r="J1801" s="3">
        <v>0.375</v>
      </c>
      <c r="K1801" s="4"/>
      <c r="L1801" s="4"/>
      <c r="M1801" s="4"/>
      <c r="N1801" s="4"/>
      <c r="O1801" s="4"/>
      <c r="P1801" s="4"/>
    </row>
    <row r="1802" spans="1:16" x14ac:dyDescent="0.25">
      <c r="A1802" s="4" t="s">
        <v>259</v>
      </c>
      <c r="B1802" s="4" t="s">
        <v>55</v>
      </c>
      <c r="C1802" s="4" t="s">
        <v>55</v>
      </c>
      <c r="D1802" s="4" t="s">
        <v>55</v>
      </c>
      <c r="E1802" s="4" t="s">
        <v>55</v>
      </c>
      <c r="F1802" s="4"/>
      <c r="G1802" s="4"/>
      <c r="H1802" s="3">
        <v>0.375</v>
      </c>
      <c r="I1802" s="3">
        <v>0.375</v>
      </c>
      <c r="J1802" s="3">
        <v>0.375</v>
      </c>
      <c r="K1802" s="4"/>
      <c r="L1802" s="4"/>
      <c r="M1802" s="4"/>
      <c r="N1802" s="4"/>
      <c r="O1802" s="4"/>
      <c r="P1802" s="4"/>
    </row>
    <row r="1803" spans="1:16" x14ac:dyDescent="0.25">
      <c r="A1803" s="4" t="s">
        <v>260</v>
      </c>
      <c r="B1803" s="4" t="s">
        <v>55</v>
      </c>
      <c r="C1803" s="4" t="s">
        <v>55</v>
      </c>
      <c r="D1803" s="4" t="s">
        <v>55</v>
      </c>
      <c r="E1803" s="4" t="s">
        <v>55</v>
      </c>
      <c r="F1803" s="4"/>
      <c r="G1803" s="4"/>
      <c r="H1803" s="4"/>
      <c r="I1803" s="4"/>
      <c r="J1803" s="4"/>
      <c r="K1803" s="4"/>
      <c r="L1803" s="4"/>
      <c r="M1803" s="4"/>
      <c r="N1803" s="4"/>
      <c r="O1803" s="4"/>
      <c r="P1803" s="4"/>
    </row>
    <row r="1804" spans="1:16" x14ac:dyDescent="0.25">
      <c r="A1804" s="4" t="s">
        <v>261</v>
      </c>
      <c r="B1804" s="4" t="s">
        <v>55</v>
      </c>
      <c r="C1804" s="4" t="s">
        <v>55</v>
      </c>
      <c r="D1804" s="4" t="s">
        <v>55</v>
      </c>
      <c r="E1804" s="4" t="s">
        <v>55</v>
      </c>
      <c r="F1804" s="4"/>
      <c r="G1804" s="4"/>
      <c r="H1804" s="4"/>
      <c r="I1804" s="4"/>
      <c r="J1804" s="4"/>
      <c r="K1804" s="4"/>
      <c r="L1804" s="4"/>
      <c r="M1804" s="4"/>
      <c r="N1804" s="4"/>
      <c r="O1804" s="4"/>
      <c r="P1804" s="4"/>
    </row>
    <row r="1805" spans="1:16" x14ac:dyDescent="0.25">
      <c r="A1805" s="4" t="s">
        <v>262</v>
      </c>
      <c r="B1805" s="4" t="s">
        <v>55</v>
      </c>
      <c r="C1805" s="4" t="s">
        <v>55</v>
      </c>
      <c r="D1805" s="4" t="s">
        <v>55</v>
      </c>
      <c r="E1805" s="4" t="s">
        <v>55</v>
      </c>
      <c r="F1805" s="4"/>
      <c r="G1805" s="4"/>
      <c r="H1805" s="3">
        <v>0.33333333333333331</v>
      </c>
      <c r="I1805" s="3">
        <v>0.33333333333333331</v>
      </c>
      <c r="J1805" s="3">
        <v>0.33333333333333331</v>
      </c>
      <c r="K1805" s="4"/>
      <c r="L1805" s="4"/>
      <c r="M1805" s="4"/>
      <c r="N1805" s="4"/>
      <c r="O1805" s="4"/>
      <c r="P1805" s="4"/>
    </row>
    <row r="1806" spans="1:16" x14ac:dyDescent="0.25">
      <c r="A1806" s="4" t="s">
        <v>263</v>
      </c>
      <c r="B1806" s="4" t="s">
        <v>55</v>
      </c>
      <c r="C1806" s="4" t="s">
        <v>55</v>
      </c>
      <c r="D1806" s="4" t="s">
        <v>55</v>
      </c>
      <c r="E1806" s="4" t="s">
        <v>55</v>
      </c>
      <c r="F1806" s="4"/>
      <c r="G1806" s="4"/>
      <c r="H1806" s="3">
        <v>0.375</v>
      </c>
      <c r="I1806" s="3">
        <v>0.375</v>
      </c>
      <c r="J1806" s="3">
        <v>0.375</v>
      </c>
      <c r="K1806" s="4"/>
      <c r="L1806" s="4"/>
      <c r="M1806" s="4"/>
      <c r="N1806" s="4"/>
      <c r="O1806" s="4"/>
      <c r="P1806" s="4"/>
    </row>
    <row r="1807" spans="1:16" x14ac:dyDescent="0.25">
      <c r="A1807" s="4" t="s">
        <v>264</v>
      </c>
      <c r="B1807" s="4" t="s">
        <v>55</v>
      </c>
      <c r="C1807" s="4" t="s">
        <v>55</v>
      </c>
      <c r="D1807" s="4" t="s">
        <v>55</v>
      </c>
      <c r="E1807" s="4" t="s">
        <v>55</v>
      </c>
      <c r="F1807" s="4"/>
      <c r="G1807" s="4"/>
      <c r="H1807" s="3">
        <v>0.375</v>
      </c>
      <c r="I1807" s="3">
        <v>0.375</v>
      </c>
      <c r="J1807" s="3">
        <v>0.375</v>
      </c>
      <c r="K1807" s="4"/>
      <c r="L1807" s="4"/>
      <c r="M1807" s="4"/>
      <c r="N1807" s="4"/>
      <c r="O1807" s="4"/>
      <c r="P1807" s="4"/>
    </row>
    <row r="1809" spans="1:13" x14ac:dyDescent="0.25">
      <c r="A1809" s="7" t="s">
        <v>45</v>
      </c>
    </row>
    <row r="1812" spans="1:13" x14ac:dyDescent="0.25">
      <c r="A1812" s="7" t="s">
        <v>46</v>
      </c>
    </row>
    <row r="1813" spans="1:13" x14ac:dyDescent="0.25">
      <c r="A1813" s="7" t="s">
        <v>110</v>
      </c>
      <c r="F1813" s="7" t="s">
        <v>47</v>
      </c>
    </row>
    <row r="1814" spans="1:13" x14ac:dyDescent="0.25">
      <c r="F1814" s="7"/>
    </row>
    <row r="1818" spans="1:13" x14ac:dyDescent="0.25">
      <c r="G1818" s="1" t="s">
        <v>18</v>
      </c>
    </row>
    <row r="1819" spans="1:13" x14ac:dyDescent="0.25">
      <c r="A1819" s="1" t="s">
        <v>1</v>
      </c>
      <c r="B1819" t="s">
        <v>2</v>
      </c>
      <c r="H1819" s="1" t="s">
        <v>19</v>
      </c>
      <c r="I1819" s="1" t="s">
        <v>20</v>
      </c>
      <c r="J1819" s="1" t="s">
        <v>21</v>
      </c>
      <c r="K1819" s="1" t="s">
        <v>22</v>
      </c>
      <c r="L1819" s="1" t="s">
        <v>23</v>
      </c>
      <c r="M1819" s="1" t="s">
        <v>24</v>
      </c>
    </row>
    <row r="1820" spans="1:13" x14ac:dyDescent="0.25">
      <c r="A1820" s="1" t="s">
        <v>3</v>
      </c>
      <c r="B1820" t="s">
        <v>4</v>
      </c>
      <c r="G1820" s="1" t="s">
        <v>220</v>
      </c>
      <c r="H1820" s="3">
        <v>0.54166666666666663</v>
      </c>
      <c r="I1820" s="3">
        <v>0.79166666666666663</v>
      </c>
      <c r="J1820" s="3">
        <v>0.83333333333333337</v>
      </c>
      <c r="K1820" s="3">
        <v>0.91666666666666663</v>
      </c>
      <c r="L1820" s="4"/>
      <c r="M1820" s="4"/>
    </row>
    <row r="1821" spans="1:13" x14ac:dyDescent="0.25">
      <c r="A1821" s="1" t="s">
        <v>5</v>
      </c>
      <c r="B1821" t="s">
        <v>6</v>
      </c>
      <c r="G1821" s="1" t="s">
        <v>221</v>
      </c>
      <c r="H1821" s="3">
        <v>0.5</v>
      </c>
      <c r="I1821" s="3">
        <v>0.79166666666666663</v>
      </c>
      <c r="J1821" s="3">
        <v>0.83333333333333337</v>
      </c>
      <c r="K1821" s="3">
        <v>0.91666666666666663</v>
      </c>
      <c r="L1821" s="4"/>
      <c r="M1821" s="4"/>
    </row>
    <row r="1822" spans="1:13" x14ac:dyDescent="0.25">
      <c r="G1822" s="1" t="s">
        <v>222</v>
      </c>
      <c r="H1822" s="3">
        <v>0.5</v>
      </c>
      <c r="I1822" s="3">
        <v>0.79166666666666663</v>
      </c>
      <c r="J1822" s="3">
        <v>0.83333333333333337</v>
      </c>
      <c r="K1822" s="3">
        <v>0.91666666666666663</v>
      </c>
      <c r="L1822" s="4"/>
      <c r="M1822" s="4"/>
    </row>
    <row r="1823" spans="1:13" x14ac:dyDescent="0.25">
      <c r="A1823" s="1" t="s">
        <v>7</v>
      </c>
      <c r="B1823" t="s">
        <v>289</v>
      </c>
      <c r="G1823" s="1" t="s">
        <v>223</v>
      </c>
      <c r="H1823" s="3">
        <v>0.5</v>
      </c>
      <c r="I1823" s="3">
        <v>0.79166666666666663</v>
      </c>
      <c r="J1823" s="3">
        <v>0.83333333333333337</v>
      </c>
      <c r="K1823" s="3">
        <v>0.91666666666666663</v>
      </c>
      <c r="L1823" s="4"/>
      <c r="M1823" s="4"/>
    </row>
    <row r="1824" spans="1:13" x14ac:dyDescent="0.25">
      <c r="A1824" s="1" t="s">
        <v>9</v>
      </c>
      <c r="B1824" t="s">
        <v>290</v>
      </c>
      <c r="D1824" s="1" t="s">
        <v>11</v>
      </c>
      <c r="E1824" t="s">
        <v>290</v>
      </c>
      <c r="G1824" s="1" t="s">
        <v>224</v>
      </c>
      <c r="H1824" s="3">
        <v>0.5</v>
      </c>
      <c r="I1824" s="3">
        <v>0.79166666666666663</v>
      </c>
      <c r="J1824" s="3">
        <v>0.83333333333333337</v>
      </c>
      <c r="K1824" s="3">
        <v>0.91666666666666663</v>
      </c>
      <c r="L1824" s="4"/>
      <c r="M1824" s="4"/>
    </row>
    <row r="1825" spans="1:16" x14ac:dyDescent="0.25">
      <c r="A1825" s="1" t="s">
        <v>12</v>
      </c>
      <c r="D1825" s="1" t="s">
        <v>13</v>
      </c>
      <c r="E1825" s="2">
        <v>42982</v>
      </c>
      <c r="G1825" s="1" t="s">
        <v>225</v>
      </c>
      <c r="H1825" s="4" t="s">
        <v>25</v>
      </c>
      <c r="I1825" s="4" t="s">
        <v>25</v>
      </c>
      <c r="J1825" s="4" t="s">
        <v>25</v>
      </c>
      <c r="K1825" s="4" t="s">
        <v>25</v>
      </c>
      <c r="L1825" s="4" t="s">
        <v>25</v>
      </c>
      <c r="M1825" s="4" t="s">
        <v>25</v>
      </c>
    </row>
    <row r="1826" spans="1:16" x14ac:dyDescent="0.25">
      <c r="A1826" s="1" t="s">
        <v>14</v>
      </c>
      <c r="B1826" t="s">
        <v>58</v>
      </c>
      <c r="G1826" s="1" t="s">
        <v>226</v>
      </c>
      <c r="H1826" s="4" t="s">
        <v>25</v>
      </c>
      <c r="I1826" s="4" t="s">
        <v>25</v>
      </c>
      <c r="J1826" s="4" t="s">
        <v>25</v>
      </c>
      <c r="K1826" s="4" t="s">
        <v>25</v>
      </c>
      <c r="L1826" s="4" t="s">
        <v>25</v>
      </c>
      <c r="M1826" s="4" t="s">
        <v>25</v>
      </c>
    </row>
    <row r="1827" spans="1:16" x14ac:dyDescent="0.25">
      <c r="A1827" s="1" t="s">
        <v>16</v>
      </c>
      <c r="B1827" t="s">
        <v>281</v>
      </c>
    </row>
    <row r="1830" spans="1:16" x14ac:dyDescent="0.25">
      <c r="A1830" s="5" t="s">
        <v>26</v>
      </c>
      <c r="B1830" s="5" t="s">
        <v>27</v>
      </c>
      <c r="C1830" s="5" t="s">
        <v>28</v>
      </c>
      <c r="D1830" s="5" t="s">
        <v>29</v>
      </c>
      <c r="E1830" s="5" t="s">
        <v>30</v>
      </c>
      <c r="F1830" s="5" t="s">
        <v>31</v>
      </c>
      <c r="G1830" s="5" t="s">
        <v>32</v>
      </c>
      <c r="H1830" s="5" t="s">
        <v>33</v>
      </c>
      <c r="I1830" s="5" t="s">
        <v>34</v>
      </c>
      <c r="J1830" s="5" t="s">
        <v>35</v>
      </c>
      <c r="K1830" s="5" t="s">
        <v>36</v>
      </c>
      <c r="L1830" s="5" t="s">
        <v>37</v>
      </c>
      <c r="M1830" s="5" t="s">
        <v>38</v>
      </c>
      <c r="N1830" s="5" t="s">
        <v>39</v>
      </c>
      <c r="O1830" s="5" t="s">
        <v>40</v>
      </c>
      <c r="P1830" s="5" t="s">
        <v>41</v>
      </c>
    </row>
    <row r="1831" spans="1:16" x14ac:dyDescent="0.25">
      <c r="A1831" s="4"/>
      <c r="B1831" s="4"/>
      <c r="C1831" s="4"/>
      <c r="D1831" s="4"/>
      <c r="E1831" s="4"/>
      <c r="F1831" s="4"/>
      <c r="G1831" s="4"/>
      <c r="H1831" s="6">
        <v>4.375</v>
      </c>
      <c r="I1831" s="6">
        <v>4.375</v>
      </c>
      <c r="J1831" s="6">
        <v>4.375</v>
      </c>
      <c r="K1831" s="3">
        <v>0</v>
      </c>
      <c r="L1831" s="3">
        <v>0</v>
      </c>
      <c r="M1831" s="3">
        <v>0.55555555555555558</v>
      </c>
      <c r="N1831" s="3">
        <v>0</v>
      </c>
      <c r="O1831" s="3">
        <v>0</v>
      </c>
      <c r="P1831" s="3">
        <v>0</v>
      </c>
    </row>
    <row r="1832" spans="1:16" x14ac:dyDescent="0.25">
      <c r="A1832" s="4" t="s">
        <v>227</v>
      </c>
      <c r="B1832" s="4"/>
      <c r="C1832" s="4"/>
      <c r="D1832" s="4"/>
      <c r="E1832" s="4"/>
      <c r="F1832" s="4"/>
      <c r="G1832" s="4"/>
      <c r="H1832" s="4"/>
      <c r="I1832" s="4"/>
      <c r="J1832" s="4"/>
      <c r="K1832" s="4"/>
      <c r="L1832" s="4"/>
      <c r="M1832" s="4"/>
      <c r="N1832" s="4"/>
      <c r="O1832" s="4"/>
      <c r="P1832" s="4"/>
    </row>
    <row r="1833" spans="1:16" x14ac:dyDescent="0.25">
      <c r="A1833" s="4" t="s">
        <v>228</v>
      </c>
      <c r="B1833" s="4"/>
      <c r="C1833" s="4"/>
      <c r="D1833" s="4"/>
      <c r="E1833" s="4"/>
      <c r="F1833" s="4"/>
      <c r="G1833" s="4"/>
      <c r="H1833" s="4"/>
      <c r="I1833" s="4"/>
      <c r="J1833" s="4"/>
      <c r="K1833" s="4"/>
      <c r="L1833" s="4"/>
      <c r="M1833" s="4"/>
      <c r="N1833" s="4"/>
      <c r="O1833" s="4"/>
      <c r="P1833" s="4"/>
    </row>
    <row r="1834" spans="1:16" x14ac:dyDescent="0.25">
      <c r="A1834" s="4" t="s">
        <v>229</v>
      </c>
      <c r="B1834" s="4"/>
      <c r="C1834" s="4"/>
      <c r="D1834" s="4"/>
      <c r="E1834" s="4"/>
      <c r="F1834" s="4"/>
      <c r="G1834" s="4"/>
      <c r="H1834" s="4"/>
      <c r="I1834" s="4"/>
      <c r="J1834" s="4"/>
      <c r="K1834" s="4"/>
      <c r="L1834" s="4"/>
      <c r="M1834" s="4"/>
      <c r="N1834" s="4"/>
      <c r="O1834" s="4"/>
      <c r="P1834" s="4"/>
    </row>
    <row r="1835" spans="1:16" x14ac:dyDescent="0.25">
      <c r="A1835" s="4" t="s">
        <v>230</v>
      </c>
      <c r="B1835" s="4"/>
      <c r="C1835" s="4"/>
      <c r="D1835" s="4"/>
      <c r="E1835" s="4"/>
      <c r="F1835" s="4"/>
      <c r="G1835" s="4"/>
      <c r="H1835" s="4"/>
      <c r="I1835" s="4"/>
      <c r="J1835" s="4"/>
      <c r="K1835" s="4"/>
      <c r="L1835" s="4"/>
      <c r="M1835" s="4"/>
      <c r="N1835" s="4"/>
      <c r="O1835" s="4"/>
      <c r="P1835" s="4"/>
    </row>
    <row r="1836" spans="1:16" x14ac:dyDescent="0.25">
      <c r="A1836" s="4" t="s">
        <v>231</v>
      </c>
      <c r="B1836" s="4"/>
      <c r="C1836" s="4"/>
      <c r="D1836" s="4"/>
      <c r="E1836" s="4"/>
      <c r="F1836" s="4"/>
      <c r="G1836" s="4"/>
      <c r="H1836" s="4"/>
      <c r="I1836" s="4"/>
      <c r="J1836" s="4"/>
      <c r="K1836" s="4"/>
      <c r="L1836" s="4"/>
      <c r="M1836" s="4"/>
      <c r="N1836" s="4"/>
      <c r="O1836" s="4"/>
      <c r="P1836" s="4"/>
    </row>
    <row r="1837" spans="1:16" x14ac:dyDescent="0.25">
      <c r="A1837" s="4" t="s">
        <v>232</v>
      </c>
      <c r="B1837" s="4"/>
      <c r="C1837" s="4"/>
      <c r="D1837" s="4"/>
      <c r="E1837" s="4"/>
      <c r="F1837" s="4"/>
      <c r="G1837" s="4"/>
      <c r="H1837" s="4"/>
      <c r="I1837" s="4"/>
      <c r="J1837" s="4"/>
      <c r="K1837" s="4"/>
      <c r="L1837" s="4"/>
      <c r="M1837" s="4"/>
      <c r="N1837" s="4"/>
      <c r="O1837" s="4"/>
      <c r="P1837" s="4"/>
    </row>
    <row r="1838" spans="1:16" x14ac:dyDescent="0.25">
      <c r="A1838" s="4" t="s">
        <v>233</v>
      </c>
      <c r="B1838" s="4"/>
      <c r="C1838" s="4"/>
      <c r="D1838" s="4"/>
      <c r="E1838" s="4"/>
      <c r="F1838" s="4"/>
      <c r="G1838" s="4"/>
      <c r="H1838" s="4"/>
      <c r="I1838" s="4"/>
      <c r="J1838" s="4"/>
      <c r="K1838" s="4"/>
      <c r="L1838" s="4"/>
      <c r="M1838" s="3">
        <v>0.27777777777777779</v>
      </c>
      <c r="N1838" s="4"/>
      <c r="O1838" s="4"/>
      <c r="P1838" s="4"/>
    </row>
    <row r="1839" spans="1:16" x14ac:dyDescent="0.25">
      <c r="A1839" s="4" t="s">
        <v>234</v>
      </c>
      <c r="B1839" s="4"/>
      <c r="C1839" s="4"/>
      <c r="D1839" s="4"/>
      <c r="E1839" s="4"/>
      <c r="F1839" s="4"/>
      <c r="G1839" s="4"/>
      <c r="H1839" s="4"/>
      <c r="I1839" s="4"/>
      <c r="J1839" s="4"/>
      <c r="K1839" s="4"/>
      <c r="L1839" s="4"/>
      <c r="M1839" s="4"/>
      <c r="N1839" s="4"/>
      <c r="O1839" s="4"/>
      <c r="P1839" s="4"/>
    </row>
    <row r="1840" spans="1:16" x14ac:dyDescent="0.25">
      <c r="A1840" s="4" t="s">
        <v>235</v>
      </c>
      <c r="B1840" s="4"/>
      <c r="C1840" s="4"/>
      <c r="D1840" s="4"/>
      <c r="E1840" s="4"/>
      <c r="F1840" s="4"/>
      <c r="G1840" s="4"/>
      <c r="H1840" s="4"/>
      <c r="I1840" s="4"/>
      <c r="J1840" s="4"/>
      <c r="K1840" s="4"/>
      <c r="L1840" s="4"/>
      <c r="M1840" s="4"/>
      <c r="N1840" s="4"/>
      <c r="O1840" s="4"/>
      <c r="P1840" s="4"/>
    </row>
    <row r="1841" spans="1:16" x14ac:dyDescent="0.25">
      <c r="A1841" s="4" t="s">
        <v>236</v>
      </c>
      <c r="B1841" s="4"/>
      <c r="C1841" s="4"/>
      <c r="D1841" s="4"/>
      <c r="E1841" s="4"/>
      <c r="F1841" s="4"/>
      <c r="G1841" s="4"/>
      <c r="H1841" s="4"/>
      <c r="I1841" s="4"/>
      <c r="J1841" s="4"/>
      <c r="K1841" s="4"/>
      <c r="L1841" s="4"/>
      <c r="M1841" s="4"/>
      <c r="N1841" s="4"/>
      <c r="O1841" s="4"/>
      <c r="P1841" s="4"/>
    </row>
    <row r="1842" spans="1:16" x14ac:dyDescent="0.25">
      <c r="A1842" s="4" t="s">
        <v>237</v>
      </c>
      <c r="B1842" s="4"/>
      <c r="C1842" s="4"/>
      <c r="D1842" s="4"/>
      <c r="E1842" s="4"/>
      <c r="F1842" s="4"/>
      <c r="G1842" s="4"/>
      <c r="H1842" s="4"/>
      <c r="I1842" s="4"/>
      <c r="J1842" s="4"/>
      <c r="K1842" s="4"/>
      <c r="L1842" s="4"/>
      <c r="M1842" s="4"/>
      <c r="N1842" s="4"/>
      <c r="O1842" s="4"/>
      <c r="P1842" s="4"/>
    </row>
    <row r="1843" spans="1:16" x14ac:dyDescent="0.25">
      <c r="A1843" s="4" t="s">
        <v>238</v>
      </c>
      <c r="B1843" s="4"/>
      <c r="C1843" s="4"/>
      <c r="D1843" s="4"/>
      <c r="E1843" s="4"/>
      <c r="F1843" s="4"/>
      <c r="G1843" s="4"/>
      <c r="H1843" s="4"/>
      <c r="I1843" s="4"/>
      <c r="J1843" s="4"/>
      <c r="K1843" s="4"/>
      <c r="L1843" s="4"/>
      <c r="M1843" s="4"/>
      <c r="N1843" s="4"/>
      <c r="O1843" s="4"/>
      <c r="P1843" s="4"/>
    </row>
    <row r="1844" spans="1:16" x14ac:dyDescent="0.25">
      <c r="A1844" s="4" t="s">
        <v>239</v>
      </c>
      <c r="B1844" s="4"/>
      <c r="C1844" s="4"/>
      <c r="D1844" s="4"/>
      <c r="E1844" s="4"/>
      <c r="F1844" s="4"/>
      <c r="G1844" s="4"/>
      <c r="H1844" s="4"/>
      <c r="I1844" s="4"/>
      <c r="J1844" s="4"/>
      <c r="K1844" s="4"/>
      <c r="L1844" s="4"/>
      <c r="M1844" s="4"/>
      <c r="N1844" s="4"/>
      <c r="O1844" s="4"/>
      <c r="P1844" s="4"/>
    </row>
    <row r="1845" spans="1:16" x14ac:dyDescent="0.25">
      <c r="A1845" s="4" t="s">
        <v>240</v>
      </c>
      <c r="B1845" s="4"/>
      <c r="C1845" s="4"/>
      <c r="D1845" s="4"/>
      <c r="E1845" s="4"/>
      <c r="F1845" s="4"/>
      <c r="G1845" s="4"/>
      <c r="H1845" s="4"/>
      <c r="I1845" s="4"/>
      <c r="J1845" s="4"/>
      <c r="K1845" s="4"/>
      <c r="L1845" s="4"/>
      <c r="M1845" s="3">
        <v>0.27777777777777779</v>
      </c>
      <c r="N1845" s="4"/>
      <c r="O1845" s="4"/>
      <c r="P1845" s="4"/>
    </row>
    <row r="1846" spans="1:16" x14ac:dyDescent="0.25">
      <c r="A1846" s="4" t="s">
        <v>241</v>
      </c>
      <c r="B1846" s="4" t="s">
        <v>52</v>
      </c>
      <c r="C1846" s="4" t="s">
        <v>52</v>
      </c>
      <c r="D1846" s="4" t="s">
        <v>52</v>
      </c>
      <c r="E1846" s="4" t="s">
        <v>52</v>
      </c>
      <c r="F1846" s="4"/>
      <c r="G1846" s="4"/>
      <c r="H1846" s="3">
        <v>0.33333333333333331</v>
      </c>
      <c r="I1846" s="3">
        <v>0.33333333333333331</v>
      </c>
      <c r="J1846" s="3">
        <v>0.33333333333333331</v>
      </c>
      <c r="K1846" s="4"/>
      <c r="L1846" s="4"/>
      <c r="M1846" s="4"/>
      <c r="N1846" s="4"/>
      <c r="O1846" s="4"/>
      <c r="P1846" s="4"/>
    </row>
    <row r="1847" spans="1:16" x14ac:dyDescent="0.25">
      <c r="A1847" s="4" t="s">
        <v>242</v>
      </c>
      <c r="B1847" s="4" t="s">
        <v>52</v>
      </c>
      <c r="C1847" s="4" t="s">
        <v>52</v>
      </c>
      <c r="D1847" s="4" t="s">
        <v>52</v>
      </c>
      <c r="E1847" s="4" t="s">
        <v>52</v>
      </c>
      <c r="F1847" s="4"/>
      <c r="G1847" s="4"/>
      <c r="H1847" s="3">
        <v>0.375</v>
      </c>
      <c r="I1847" s="3">
        <v>0.375</v>
      </c>
      <c r="J1847" s="3">
        <v>0.375</v>
      </c>
      <c r="K1847" s="4"/>
      <c r="L1847" s="4"/>
      <c r="M1847" s="4"/>
      <c r="N1847" s="4"/>
      <c r="O1847" s="4"/>
      <c r="P1847" s="4"/>
    </row>
    <row r="1848" spans="1:16" x14ac:dyDescent="0.25">
      <c r="A1848" s="4" t="s">
        <v>243</v>
      </c>
      <c r="B1848" s="4" t="s">
        <v>52</v>
      </c>
      <c r="C1848" s="4" t="s">
        <v>52</v>
      </c>
      <c r="D1848" s="4" t="s">
        <v>52</v>
      </c>
      <c r="E1848" s="4" t="s">
        <v>52</v>
      </c>
      <c r="F1848" s="4"/>
      <c r="G1848" s="4"/>
      <c r="H1848" s="3">
        <v>0.375</v>
      </c>
      <c r="I1848" s="3">
        <v>0.375</v>
      </c>
      <c r="J1848" s="3">
        <v>0.375</v>
      </c>
      <c r="K1848" s="4"/>
      <c r="L1848" s="4"/>
      <c r="M1848" s="4"/>
      <c r="N1848" s="4"/>
      <c r="O1848" s="4"/>
      <c r="P1848" s="4"/>
    </row>
    <row r="1849" spans="1:16" x14ac:dyDescent="0.25">
      <c r="A1849" s="4" t="s">
        <v>244</v>
      </c>
      <c r="B1849" s="4" t="s">
        <v>265</v>
      </c>
      <c r="C1849" s="4" t="s">
        <v>265</v>
      </c>
      <c r="D1849" s="4" t="s">
        <v>265</v>
      </c>
      <c r="E1849" s="4" t="s">
        <v>265</v>
      </c>
      <c r="F1849" s="4" t="s">
        <v>265</v>
      </c>
      <c r="G1849" s="4" t="s">
        <v>265</v>
      </c>
      <c r="H1849" s="4"/>
      <c r="I1849" s="4"/>
      <c r="J1849" s="4"/>
      <c r="K1849" s="4"/>
      <c r="L1849" s="4"/>
      <c r="M1849" s="4"/>
      <c r="N1849" s="4"/>
      <c r="O1849" s="4"/>
      <c r="P1849" s="4"/>
    </row>
    <row r="1850" spans="1:16" x14ac:dyDescent="0.25">
      <c r="A1850" s="4" t="s">
        <v>245</v>
      </c>
      <c r="B1850" s="4" t="s">
        <v>52</v>
      </c>
      <c r="C1850" s="4" t="s">
        <v>52</v>
      </c>
      <c r="D1850" s="4" t="s">
        <v>52</v>
      </c>
      <c r="E1850" s="4" t="s">
        <v>52</v>
      </c>
      <c r="F1850" s="4"/>
      <c r="G1850" s="4"/>
      <c r="H1850" s="3">
        <v>0.375</v>
      </c>
      <c r="I1850" s="3">
        <v>0.375</v>
      </c>
      <c r="J1850" s="3">
        <v>0.375</v>
      </c>
      <c r="K1850" s="4"/>
      <c r="L1850" s="4"/>
      <c r="M1850" s="4"/>
      <c r="N1850" s="4"/>
      <c r="O1850" s="4"/>
      <c r="P1850" s="4"/>
    </row>
    <row r="1851" spans="1:16" x14ac:dyDescent="0.25">
      <c r="A1851" s="4" t="s">
        <v>246</v>
      </c>
      <c r="B1851" s="4" t="s">
        <v>25</v>
      </c>
      <c r="C1851" s="4" t="s">
        <v>25</v>
      </c>
      <c r="D1851" s="4" t="s">
        <v>25</v>
      </c>
      <c r="E1851" s="4" t="s">
        <v>25</v>
      </c>
      <c r="F1851" s="4" t="s">
        <v>25</v>
      </c>
      <c r="G1851" s="4" t="s">
        <v>25</v>
      </c>
      <c r="H1851" s="4"/>
      <c r="I1851" s="4"/>
      <c r="J1851" s="4"/>
      <c r="K1851" s="4"/>
      <c r="L1851" s="4"/>
      <c r="M1851" s="4"/>
      <c r="N1851" s="4"/>
      <c r="O1851" s="4"/>
      <c r="P1851" s="4"/>
    </row>
    <row r="1852" spans="1:16" x14ac:dyDescent="0.25">
      <c r="A1852" s="4" t="s">
        <v>247</v>
      </c>
      <c r="B1852" s="4" t="s">
        <v>25</v>
      </c>
      <c r="C1852" s="4" t="s">
        <v>25</v>
      </c>
      <c r="D1852" s="4" t="s">
        <v>25</v>
      </c>
      <c r="E1852" s="4" t="s">
        <v>25</v>
      </c>
      <c r="F1852" s="4" t="s">
        <v>25</v>
      </c>
      <c r="G1852" s="4" t="s">
        <v>25</v>
      </c>
      <c r="H1852" s="4"/>
      <c r="I1852" s="4"/>
      <c r="J1852" s="4"/>
      <c r="K1852" s="4"/>
      <c r="L1852" s="4"/>
      <c r="M1852" s="4"/>
      <c r="N1852" s="4"/>
      <c r="O1852" s="4"/>
      <c r="P1852" s="4"/>
    </row>
    <row r="1853" spans="1:16" x14ac:dyDescent="0.25">
      <c r="A1853" s="4" t="s">
        <v>248</v>
      </c>
      <c r="B1853" s="4" t="s">
        <v>52</v>
      </c>
      <c r="C1853" s="4" t="s">
        <v>52</v>
      </c>
      <c r="D1853" s="4" t="s">
        <v>52</v>
      </c>
      <c r="E1853" s="4" t="s">
        <v>52</v>
      </c>
      <c r="F1853" s="4"/>
      <c r="G1853" s="4"/>
      <c r="H1853" s="3">
        <v>0.33333333333333331</v>
      </c>
      <c r="I1853" s="3">
        <v>0.33333333333333331</v>
      </c>
      <c r="J1853" s="3">
        <v>0.33333333333333331</v>
      </c>
      <c r="K1853" s="4"/>
      <c r="L1853" s="4"/>
      <c r="M1853" s="4"/>
      <c r="N1853" s="4"/>
      <c r="O1853" s="4"/>
      <c r="P1853" s="4"/>
    </row>
    <row r="1854" spans="1:16" x14ac:dyDescent="0.25">
      <c r="A1854" s="4" t="s">
        <v>249</v>
      </c>
      <c r="B1854" s="4" t="s">
        <v>52</v>
      </c>
      <c r="C1854" s="4" t="s">
        <v>52</v>
      </c>
      <c r="D1854" s="4" t="s">
        <v>52</v>
      </c>
      <c r="E1854" s="4" t="s">
        <v>52</v>
      </c>
      <c r="F1854" s="4"/>
      <c r="G1854" s="4"/>
      <c r="H1854" s="3">
        <v>0.375</v>
      </c>
      <c r="I1854" s="3">
        <v>0.375</v>
      </c>
      <c r="J1854" s="3">
        <v>0.375</v>
      </c>
      <c r="K1854" s="4"/>
      <c r="L1854" s="4"/>
      <c r="M1854" s="4"/>
      <c r="N1854" s="4"/>
      <c r="O1854" s="4"/>
      <c r="P1854" s="4"/>
    </row>
    <row r="1855" spans="1:16" x14ac:dyDescent="0.25">
      <c r="A1855" s="4" t="s">
        <v>251</v>
      </c>
      <c r="B1855" s="4" t="s">
        <v>52</v>
      </c>
      <c r="C1855" s="4" t="s">
        <v>52</v>
      </c>
      <c r="D1855" s="4" t="s">
        <v>52</v>
      </c>
      <c r="E1855" s="4" t="s">
        <v>52</v>
      </c>
      <c r="F1855" s="4"/>
      <c r="G1855" s="4"/>
      <c r="H1855" s="3">
        <v>0.375</v>
      </c>
      <c r="I1855" s="3">
        <v>0.375</v>
      </c>
      <c r="J1855" s="3">
        <v>0.375</v>
      </c>
      <c r="K1855" s="4"/>
      <c r="L1855" s="4"/>
      <c r="M1855" s="4"/>
      <c r="N1855" s="4"/>
      <c r="O1855" s="4"/>
      <c r="P1855" s="4"/>
    </row>
    <row r="1856" spans="1:16" x14ac:dyDescent="0.25">
      <c r="A1856" s="4" t="s">
        <v>256</v>
      </c>
      <c r="B1856" s="4" t="s">
        <v>52</v>
      </c>
      <c r="C1856" s="4" t="s">
        <v>52</v>
      </c>
      <c r="D1856" s="4" t="s">
        <v>52</v>
      </c>
      <c r="E1856" s="4" t="s">
        <v>52</v>
      </c>
      <c r="F1856" s="4"/>
      <c r="G1856" s="4"/>
      <c r="H1856" s="3">
        <v>0.375</v>
      </c>
      <c r="I1856" s="3">
        <v>0.375</v>
      </c>
      <c r="J1856" s="3">
        <v>0.375</v>
      </c>
      <c r="K1856" s="4"/>
      <c r="L1856" s="4"/>
      <c r="M1856" s="4"/>
      <c r="N1856" s="4"/>
      <c r="O1856" s="4"/>
      <c r="P1856" s="4"/>
    </row>
    <row r="1857" spans="1:16" x14ac:dyDescent="0.25">
      <c r="A1857" s="4" t="s">
        <v>259</v>
      </c>
      <c r="B1857" s="4" t="s">
        <v>52</v>
      </c>
      <c r="C1857" s="4" t="s">
        <v>52</v>
      </c>
      <c r="D1857" s="4" t="s">
        <v>52</v>
      </c>
      <c r="E1857" s="4" t="s">
        <v>52</v>
      </c>
      <c r="F1857" s="4"/>
      <c r="G1857" s="4"/>
      <c r="H1857" s="3">
        <v>0.375</v>
      </c>
      <c r="I1857" s="3">
        <v>0.375</v>
      </c>
      <c r="J1857" s="3">
        <v>0.375</v>
      </c>
      <c r="K1857" s="4"/>
      <c r="L1857" s="4"/>
      <c r="M1857" s="4"/>
      <c r="N1857" s="4"/>
      <c r="O1857" s="4"/>
      <c r="P1857" s="4"/>
    </row>
    <row r="1858" spans="1:16" x14ac:dyDescent="0.25">
      <c r="A1858" s="4" t="s">
        <v>260</v>
      </c>
      <c r="B1858" s="4" t="s">
        <v>25</v>
      </c>
      <c r="C1858" s="4" t="s">
        <v>25</v>
      </c>
      <c r="D1858" s="4" t="s">
        <v>25</v>
      </c>
      <c r="E1858" s="4" t="s">
        <v>25</v>
      </c>
      <c r="F1858" s="4" t="s">
        <v>25</v>
      </c>
      <c r="G1858" s="4" t="s">
        <v>25</v>
      </c>
      <c r="H1858" s="4"/>
      <c r="I1858" s="4"/>
      <c r="J1858" s="4"/>
      <c r="K1858" s="4"/>
      <c r="L1858" s="4"/>
      <c r="M1858" s="4"/>
      <c r="N1858" s="4"/>
      <c r="O1858" s="4"/>
      <c r="P1858" s="4"/>
    </row>
    <row r="1859" spans="1:16" x14ac:dyDescent="0.25">
      <c r="A1859" s="4" t="s">
        <v>261</v>
      </c>
      <c r="B1859" s="4" t="s">
        <v>25</v>
      </c>
      <c r="C1859" s="4" t="s">
        <v>25</v>
      </c>
      <c r="D1859" s="4" t="s">
        <v>25</v>
      </c>
      <c r="E1859" s="4" t="s">
        <v>25</v>
      </c>
      <c r="F1859" s="4" t="s">
        <v>25</v>
      </c>
      <c r="G1859" s="4" t="s">
        <v>25</v>
      </c>
      <c r="H1859" s="4"/>
      <c r="I1859" s="4"/>
      <c r="J1859" s="4"/>
      <c r="K1859" s="4"/>
      <c r="L1859" s="4"/>
      <c r="M1859" s="4"/>
      <c r="N1859" s="4"/>
      <c r="O1859" s="4"/>
      <c r="P1859" s="4"/>
    </row>
    <row r="1860" spans="1:16" x14ac:dyDescent="0.25">
      <c r="A1860" s="4" t="s">
        <v>262</v>
      </c>
      <c r="B1860" s="4" t="s">
        <v>52</v>
      </c>
      <c r="C1860" s="4" t="s">
        <v>52</v>
      </c>
      <c r="D1860" s="4" t="s">
        <v>52</v>
      </c>
      <c r="E1860" s="4" t="s">
        <v>52</v>
      </c>
      <c r="F1860" s="4"/>
      <c r="G1860" s="4"/>
      <c r="H1860" s="3">
        <v>0.33333333333333331</v>
      </c>
      <c r="I1860" s="3">
        <v>0.33333333333333331</v>
      </c>
      <c r="J1860" s="3">
        <v>0.33333333333333331</v>
      </c>
      <c r="K1860" s="4"/>
      <c r="L1860" s="4"/>
      <c r="M1860" s="4"/>
      <c r="N1860" s="4"/>
      <c r="O1860" s="4"/>
      <c r="P1860" s="4"/>
    </row>
    <row r="1861" spans="1:16" x14ac:dyDescent="0.25">
      <c r="A1861" s="4" t="s">
        <v>263</v>
      </c>
      <c r="B1861" s="4" t="s">
        <v>52</v>
      </c>
      <c r="C1861" s="4" t="s">
        <v>52</v>
      </c>
      <c r="D1861" s="4" t="s">
        <v>52</v>
      </c>
      <c r="E1861" s="4" t="s">
        <v>52</v>
      </c>
      <c r="F1861" s="4"/>
      <c r="G1861" s="4"/>
      <c r="H1861" s="3">
        <v>0.375</v>
      </c>
      <c r="I1861" s="3">
        <v>0.375</v>
      </c>
      <c r="J1861" s="3">
        <v>0.375</v>
      </c>
      <c r="K1861" s="4"/>
      <c r="L1861" s="4"/>
      <c r="M1861" s="4"/>
      <c r="N1861" s="4"/>
      <c r="O1861" s="4"/>
      <c r="P1861" s="4"/>
    </row>
    <row r="1862" spans="1:16" x14ac:dyDescent="0.25">
      <c r="A1862" s="4" t="s">
        <v>264</v>
      </c>
      <c r="B1862" s="4" t="s">
        <v>52</v>
      </c>
      <c r="C1862" s="4" t="s">
        <v>52</v>
      </c>
      <c r="D1862" s="4" t="s">
        <v>52</v>
      </c>
      <c r="E1862" s="4" t="s">
        <v>52</v>
      </c>
      <c r="F1862" s="4"/>
      <c r="G1862" s="4"/>
      <c r="H1862" s="3">
        <v>0.375</v>
      </c>
      <c r="I1862" s="3">
        <v>0.375</v>
      </c>
      <c r="J1862" s="3">
        <v>0.375</v>
      </c>
      <c r="K1862" s="4"/>
      <c r="L1862" s="4"/>
      <c r="M1862" s="4"/>
      <c r="N1862" s="4"/>
      <c r="O1862" s="4"/>
      <c r="P1862" s="4"/>
    </row>
    <row r="1864" spans="1:16" x14ac:dyDescent="0.25">
      <c r="A1864" s="7" t="s">
        <v>45</v>
      </c>
    </row>
    <row r="1867" spans="1:16" x14ac:dyDescent="0.25">
      <c r="A1867" s="7" t="s">
        <v>46</v>
      </c>
    </row>
    <row r="1868" spans="1:16" x14ac:dyDescent="0.25">
      <c r="A1868" s="7" t="s">
        <v>289</v>
      </c>
      <c r="F1868" s="7" t="s">
        <v>47</v>
      </c>
    </row>
    <row r="1869" spans="1:16" x14ac:dyDescent="0.25">
      <c r="F1869" s="7"/>
    </row>
    <row r="1873" spans="1:16" x14ac:dyDescent="0.25">
      <c r="G1873" s="1" t="s">
        <v>18</v>
      </c>
    </row>
    <row r="1874" spans="1:16" x14ac:dyDescent="0.25">
      <c r="A1874" s="1" t="s">
        <v>1</v>
      </c>
      <c r="B1874" t="s">
        <v>2</v>
      </c>
      <c r="H1874" s="1" t="s">
        <v>19</v>
      </c>
      <c r="I1874" s="1" t="s">
        <v>20</v>
      </c>
      <c r="J1874" s="1" t="s">
        <v>21</v>
      </c>
      <c r="K1874" s="1" t="s">
        <v>22</v>
      </c>
      <c r="L1874" s="1" t="s">
        <v>23</v>
      </c>
      <c r="M1874" s="1" t="s">
        <v>24</v>
      </c>
    </row>
    <row r="1875" spans="1:16" x14ac:dyDescent="0.25">
      <c r="A1875" s="1" t="s">
        <v>3</v>
      </c>
      <c r="B1875" t="s">
        <v>4</v>
      </c>
      <c r="G1875" s="1" t="s">
        <v>220</v>
      </c>
      <c r="H1875" s="3">
        <v>0.375</v>
      </c>
      <c r="I1875" s="3">
        <v>0.5</v>
      </c>
      <c r="J1875" s="3">
        <v>0.54166666666666663</v>
      </c>
      <c r="K1875" s="3">
        <v>0.75</v>
      </c>
      <c r="L1875" s="4"/>
      <c r="M1875" s="4"/>
    </row>
    <row r="1876" spans="1:16" x14ac:dyDescent="0.25">
      <c r="A1876" s="1" t="s">
        <v>5</v>
      </c>
      <c r="B1876" t="s">
        <v>6</v>
      </c>
      <c r="G1876" s="1" t="s">
        <v>221</v>
      </c>
      <c r="H1876" s="3">
        <v>0.375</v>
      </c>
      <c r="I1876" s="3">
        <v>0.5</v>
      </c>
      <c r="J1876" s="3">
        <v>0.54166666666666663</v>
      </c>
      <c r="K1876" s="3">
        <v>0.79166666666666663</v>
      </c>
      <c r="L1876" s="4"/>
      <c r="M1876" s="4"/>
    </row>
    <row r="1877" spans="1:16" x14ac:dyDescent="0.25">
      <c r="G1877" s="1" t="s">
        <v>222</v>
      </c>
      <c r="H1877" s="3">
        <v>0.375</v>
      </c>
      <c r="I1877" s="3">
        <v>0.5</v>
      </c>
      <c r="J1877" s="3">
        <v>0.54166666666666663</v>
      </c>
      <c r="K1877" s="3">
        <v>0.79166666666666663</v>
      </c>
      <c r="L1877" s="4"/>
      <c r="M1877" s="4"/>
    </row>
    <row r="1878" spans="1:16" x14ac:dyDescent="0.25">
      <c r="A1878" s="1" t="s">
        <v>7</v>
      </c>
      <c r="B1878" t="s">
        <v>291</v>
      </c>
      <c r="G1878" s="1" t="s">
        <v>223</v>
      </c>
      <c r="H1878" s="3">
        <v>0.375</v>
      </c>
      <c r="I1878" s="3">
        <v>0.5</v>
      </c>
      <c r="J1878" s="3">
        <v>0.54166666666666663</v>
      </c>
      <c r="K1878" s="3">
        <v>0.79166666666666663</v>
      </c>
      <c r="L1878" s="4"/>
      <c r="M1878" s="4"/>
    </row>
    <row r="1879" spans="1:16" x14ac:dyDescent="0.25">
      <c r="A1879" s="1" t="s">
        <v>9</v>
      </c>
      <c r="B1879" t="s">
        <v>292</v>
      </c>
      <c r="D1879" s="1" t="s">
        <v>11</v>
      </c>
      <c r="E1879" t="s">
        <v>292</v>
      </c>
      <c r="G1879" s="1" t="s">
        <v>224</v>
      </c>
      <c r="H1879" s="3">
        <v>0.375</v>
      </c>
      <c r="I1879" s="3">
        <v>0.5</v>
      </c>
      <c r="J1879" s="3">
        <v>0.54166666666666663</v>
      </c>
      <c r="K1879" s="3">
        <v>0.79166666666666663</v>
      </c>
      <c r="L1879" s="4"/>
      <c r="M1879" s="4"/>
    </row>
    <row r="1880" spans="1:16" x14ac:dyDescent="0.25">
      <c r="A1880" s="1" t="s">
        <v>12</v>
      </c>
      <c r="D1880" s="1" t="s">
        <v>13</v>
      </c>
      <c r="E1880" s="2">
        <v>42996</v>
      </c>
      <c r="G1880" s="1" t="s">
        <v>225</v>
      </c>
      <c r="H1880" s="4" t="s">
        <v>25</v>
      </c>
      <c r="I1880" s="4" t="s">
        <v>25</v>
      </c>
      <c r="J1880" s="4" t="s">
        <v>25</v>
      </c>
      <c r="K1880" s="4" t="s">
        <v>25</v>
      </c>
      <c r="L1880" s="4" t="s">
        <v>25</v>
      </c>
      <c r="M1880" s="4" t="s">
        <v>25</v>
      </c>
    </row>
    <row r="1881" spans="1:16" x14ac:dyDescent="0.25">
      <c r="A1881" s="1" t="s">
        <v>14</v>
      </c>
      <c r="B1881" t="s">
        <v>293</v>
      </c>
      <c r="G1881" s="1" t="s">
        <v>226</v>
      </c>
      <c r="H1881" s="4" t="s">
        <v>25</v>
      </c>
      <c r="I1881" s="4" t="s">
        <v>25</v>
      </c>
      <c r="J1881" s="4" t="s">
        <v>25</v>
      </c>
      <c r="K1881" s="4" t="s">
        <v>25</v>
      </c>
      <c r="L1881" s="4" t="s">
        <v>25</v>
      </c>
      <c r="M1881" s="4" t="s">
        <v>25</v>
      </c>
    </row>
    <row r="1882" spans="1:16" x14ac:dyDescent="0.25">
      <c r="A1882" s="1" t="s">
        <v>16</v>
      </c>
      <c r="B1882" t="s">
        <v>17</v>
      </c>
    </row>
    <row r="1885" spans="1:16" x14ac:dyDescent="0.25">
      <c r="A1885" s="5" t="s">
        <v>26</v>
      </c>
      <c r="B1885" s="5" t="s">
        <v>27</v>
      </c>
      <c r="C1885" s="5" t="s">
        <v>28</v>
      </c>
      <c r="D1885" s="5" t="s">
        <v>29</v>
      </c>
      <c r="E1885" s="5" t="s">
        <v>30</v>
      </c>
      <c r="F1885" s="5" t="s">
        <v>31</v>
      </c>
      <c r="G1885" s="5" t="s">
        <v>32</v>
      </c>
      <c r="H1885" s="5" t="s">
        <v>33</v>
      </c>
      <c r="I1885" s="5" t="s">
        <v>34</v>
      </c>
      <c r="J1885" s="5" t="s">
        <v>35</v>
      </c>
      <c r="K1885" s="5" t="s">
        <v>36</v>
      </c>
      <c r="L1885" s="5" t="s">
        <v>37</v>
      </c>
      <c r="M1885" s="5" t="s">
        <v>38</v>
      </c>
      <c r="N1885" s="5" t="s">
        <v>39</v>
      </c>
      <c r="O1885" s="5" t="s">
        <v>40</v>
      </c>
      <c r="P1885" s="5" t="s">
        <v>41</v>
      </c>
    </row>
    <row r="1886" spans="1:16" x14ac:dyDescent="0.25">
      <c r="A1886" s="4"/>
      <c r="B1886" s="4"/>
      <c r="C1886" s="4"/>
      <c r="D1886" s="4"/>
      <c r="E1886" s="4"/>
      <c r="F1886" s="4"/>
      <c r="G1886" s="4"/>
      <c r="H1886" s="6">
        <v>1.0833333333333333</v>
      </c>
      <c r="I1886" s="6">
        <v>1.0833333333333333</v>
      </c>
      <c r="J1886" s="6">
        <v>1.0833333333333333</v>
      </c>
      <c r="K1886" s="3">
        <v>0</v>
      </c>
      <c r="L1886" s="3">
        <v>0</v>
      </c>
      <c r="M1886" s="3">
        <v>0.83333333333333337</v>
      </c>
      <c r="N1886" s="3">
        <v>0</v>
      </c>
      <c r="O1886" s="3">
        <v>0</v>
      </c>
      <c r="P1886" s="3">
        <v>0</v>
      </c>
    </row>
    <row r="1887" spans="1:16" x14ac:dyDescent="0.25">
      <c r="A1887" s="4" t="s">
        <v>227</v>
      </c>
      <c r="B1887" s="4"/>
      <c r="C1887" s="4"/>
      <c r="D1887" s="4"/>
      <c r="E1887" s="4"/>
      <c r="F1887" s="4"/>
      <c r="G1887" s="4"/>
      <c r="H1887" s="4"/>
      <c r="I1887" s="4"/>
      <c r="J1887" s="4"/>
      <c r="K1887" s="4"/>
      <c r="L1887" s="4"/>
      <c r="M1887" s="4"/>
      <c r="N1887" s="4"/>
      <c r="O1887" s="4"/>
      <c r="P1887" s="4"/>
    </row>
    <row r="1888" spans="1:16" x14ac:dyDescent="0.25">
      <c r="A1888" s="4" t="s">
        <v>228</v>
      </c>
      <c r="B1888" s="4"/>
      <c r="C1888" s="4"/>
      <c r="D1888" s="4"/>
      <c r="E1888" s="4"/>
      <c r="F1888" s="4"/>
      <c r="G1888" s="4"/>
      <c r="H1888" s="4"/>
      <c r="I1888" s="4"/>
      <c r="J1888" s="4"/>
      <c r="K1888" s="4"/>
      <c r="L1888" s="4"/>
      <c r="M1888" s="4"/>
      <c r="N1888" s="4"/>
      <c r="O1888" s="4"/>
      <c r="P1888" s="4"/>
    </row>
    <row r="1889" spans="1:16" x14ac:dyDescent="0.25">
      <c r="A1889" s="4" t="s">
        <v>229</v>
      </c>
      <c r="B1889" s="4"/>
      <c r="C1889" s="4"/>
      <c r="D1889" s="4"/>
      <c r="E1889" s="4"/>
      <c r="F1889" s="4"/>
      <c r="G1889" s="4"/>
      <c r="H1889" s="4"/>
      <c r="I1889" s="4"/>
      <c r="J1889" s="4"/>
      <c r="K1889" s="4"/>
      <c r="L1889" s="4"/>
      <c r="M1889" s="4"/>
      <c r="N1889" s="4"/>
      <c r="O1889" s="4"/>
      <c r="P1889" s="4"/>
    </row>
    <row r="1890" spans="1:16" x14ac:dyDescent="0.25">
      <c r="A1890" s="4" t="s">
        <v>230</v>
      </c>
      <c r="B1890" s="4"/>
      <c r="C1890" s="4"/>
      <c r="D1890" s="4"/>
      <c r="E1890" s="4"/>
      <c r="F1890" s="4"/>
      <c r="G1890" s="4"/>
      <c r="H1890" s="4"/>
      <c r="I1890" s="4"/>
      <c r="J1890" s="4"/>
      <c r="K1890" s="4"/>
      <c r="L1890" s="4"/>
      <c r="M1890" s="4"/>
      <c r="N1890" s="4"/>
      <c r="O1890" s="4"/>
      <c r="P1890" s="4"/>
    </row>
    <row r="1891" spans="1:16" x14ac:dyDescent="0.25">
      <c r="A1891" s="4" t="s">
        <v>231</v>
      </c>
      <c r="B1891" s="4"/>
      <c r="C1891" s="4"/>
      <c r="D1891" s="4"/>
      <c r="E1891" s="4"/>
      <c r="F1891" s="4"/>
      <c r="G1891" s="4"/>
      <c r="H1891" s="4"/>
      <c r="I1891" s="4"/>
      <c r="J1891" s="4"/>
      <c r="K1891" s="4"/>
      <c r="L1891" s="4"/>
      <c r="M1891" s="4"/>
      <c r="N1891" s="4"/>
      <c r="O1891" s="4"/>
      <c r="P1891" s="4"/>
    </row>
    <row r="1892" spans="1:16" x14ac:dyDescent="0.25">
      <c r="A1892" s="4" t="s">
        <v>232</v>
      </c>
      <c r="B1892" s="4"/>
      <c r="C1892" s="4"/>
      <c r="D1892" s="4"/>
      <c r="E1892" s="4"/>
      <c r="F1892" s="4"/>
      <c r="G1892" s="4"/>
      <c r="H1892" s="4"/>
      <c r="I1892" s="4"/>
      <c r="J1892" s="4"/>
      <c r="K1892" s="4"/>
      <c r="L1892" s="4"/>
      <c r="M1892" s="4"/>
      <c r="N1892" s="4"/>
      <c r="O1892" s="4"/>
      <c r="P1892" s="4"/>
    </row>
    <row r="1893" spans="1:16" x14ac:dyDescent="0.25">
      <c r="A1893" s="4" t="s">
        <v>233</v>
      </c>
      <c r="B1893" s="4"/>
      <c r="C1893" s="4"/>
      <c r="D1893" s="4"/>
      <c r="E1893" s="4"/>
      <c r="F1893" s="4"/>
      <c r="G1893" s="4"/>
      <c r="H1893" s="4"/>
      <c r="I1893" s="4"/>
      <c r="J1893" s="4"/>
      <c r="K1893" s="4"/>
      <c r="L1893" s="4"/>
      <c r="M1893" s="3">
        <v>0.20833333333333334</v>
      </c>
      <c r="N1893" s="4"/>
      <c r="O1893" s="4"/>
      <c r="P1893" s="4"/>
    </row>
    <row r="1894" spans="1:16" x14ac:dyDescent="0.25">
      <c r="A1894" s="4" t="s">
        <v>234</v>
      </c>
      <c r="B1894" s="4"/>
      <c r="C1894" s="4"/>
      <c r="D1894" s="4"/>
      <c r="E1894" s="4"/>
      <c r="F1894" s="4"/>
      <c r="G1894" s="4"/>
      <c r="H1894" s="4"/>
      <c r="I1894" s="4"/>
      <c r="J1894" s="4"/>
      <c r="K1894" s="4"/>
      <c r="L1894" s="4"/>
      <c r="M1894" s="4"/>
      <c r="N1894" s="4"/>
      <c r="O1894" s="4"/>
      <c r="P1894" s="4"/>
    </row>
    <row r="1895" spans="1:16" x14ac:dyDescent="0.25">
      <c r="A1895" s="4" t="s">
        <v>235</v>
      </c>
      <c r="B1895" s="4"/>
      <c r="C1895" s="4"/>
      <c r="D1895" s="4"/>
      <c r="E1895" s="4"/>
      <c r="F1895" s="4"/>
      <c r="G1895" s="4"/>
      <c r="H1895" s="4"/>
      <c r="I1895" s="4"/>
      <c r="J1895" s="4"/>
      <c r="K1895" s="4"/>
      <c r="L1895" s="4"/>
      <c r="M1895" s="4"/>
      <c r="N1895" s="4"/>
      <c r="O1895" s="4"/>
      <c r="P1895" s="4"/>
    </row>
    <row r="1896" spans="1:16" x14ac:dyDescent="0.25">
      <c r="A1896" s="4" t="s">
        <v>236</v>
      </c>
      <c r="B1896" s="4"/>
      <c r="C1896" s="4"/>
      <c r="D1896" s="4"/>
      <c r="E1896" s="4"/>
      <c r="F1896" s="4"/>
      <c r="G1896" s="4"/>
      <c r="H1896" s="4"/>
      <c r="I1896" s="4"/>
      <c r="J1896" s="4"/>
      <c r="K1896" s="4"/>
      <c r="L1896" s="4"/>
      <c r="M1896" s="4"/>
      <c r="N1896" s="4"/>
      <c r="O1896" s="4"/>
      <c r="P1896" s="4"/>
    </row>
    <row r="1897" spans="1:16" x14ac:dyDescent="0.25">
      <c r="A1897" s="4" t="s">
        <v>237</v>
      </c>
      <c r="B1897" s="4"/>
      <c r="C1897" s="4"/>
      <c r="D1897" s="4"/>
      <c r="E1897" s="4"/>
      <c r="F1897" s="4"/>
      <c r="G1897" s="4"/>
      <c r="H1897" s="4"/>
      <c r="I1897" s="4"/>
      <c r="J1897" s="4"/>
      <c r="K1897" s="4"/>
      <c r="L1897" s="4"/>
      <c r="M1897" s="4"/>
      <c r="N1897" s="4"/>
      <c r="O1897" s="4"/>
      <c r="P1897" s="4"/>
    </row>
    <row r="1898" spans="1:16" x14ac:dyDescent="0.25">
      <c r="A1898" s="4" t="s">
        <v>238</v>
      </c>
      <c r="B1898" s="4"/>
      <c r="C1898" s="4"/>
      <c r="D1898" s="4"/>
      <c r="E1898" s="4"/>
      <c r="F1898" s="4"/>
      <c r="G1898" s="4"/>
      <c r="H1898" s="4"/>
      <c r="I1898" s="4"/>
      <c r="J1898" s="4"/>
      <c r="K1898" s="4"/>
      <c r="L1898" s="4"/>
      <c r="M1898" s="4"/>
      <c r="N1898" s="4"/>
      <c r="O1898" s="4"/>
      <c r="P1898" s="4"/>
    </row>
    <row r="1899" spans="1:16" x14ac:dyDescent="0.25">
      <c r="A1899" s="4" t="s">
        <v>239</v>
      </c>
      <c r="B1899" s="4"/>
      <c r="C1899" s="4"/>
      <c r="D1899" s="4"/>
      <c r="E1899" s="4"/>
      <c r="F1899" s="4"/>
      <c r="G1899" s="4"/>
      <c r="H1899" s="4"/>
      <c r="I1899" s="4"/>
      <c r="J1899" s="4"/>
      <c r="K1899" s="4"/>
      <c r="L1899" s="4"/>
      <c r="M1899" s="4"/>
      <c r="N1899" s="4"/>
      <c r="O1899" s="4"/>
      <c r="P1899" s="4"/>
    </row>
    <row r="1900" spans="1:16" x14ac:dyDescent="0.25">
      <c r="A1900" s="4" t="s">
        <v>240</v>
      </c>
      <c r="B1900" s="4"/>
      <c r="C1900" s="4"/>
      <c r="D1900" s="4"/>
      <c r="E1900" s="4"/>
      <c r="F1900" s="4"/>
      <c r="G1900" s="4"/>
      <c r="H1900" s="4"/>
      <c r="I1900" s="4"/>
      <c r="J1900" s="4"/>
      <c r="K1900" s="4"/>
      <c r="L1900" s="4"/>
      <c r="M1900" s="3">
        <v>0.20833333333333334</v>
      </c>
      <c r="N1900" s="4"/>
      <c r="O1900" s="4"/>
      <c r="P1900" s="4"/>
    </row>
    <row r="1901" spans="1:16" x14ac:dyDescent="0.25">
      <c r="A1901" s="4" t="s">
        <v>241</v>
      </c>
      <c r="B1901" s="4"/>
      <c r="C1901" s="4"/>
      <c r="D1901" s="4"/>
      <c r="E1901" s="4"/>
      <c r="F1901" s="4"/>
      <c r="G1901" s="4"/>
      <c r="H1901" s="4"/>
      <c r="I1901" s="4"/>
      <c r="J1901" s="4"/>
      <c r="K1901" s="4"/>
      <c r="L1901" s="4"/>
      <c r="M1901" s="4"/>
      <c r="N1901" s="4"/>
      <c r="O1901" s="4"/>
      <c r="P1901" s="4"/>
    </row>
    <row r="1902" spans="1:16" x14ac:dyDescent="0.25">
      <c r="A1902" s="4" t="s">
        <v>242</v>
      </c>
      <c r="B1902" s="4"/>
      <c r="C1902" s="4"/>
      <c r="D1902" s="4"/>
      <c r="E1902" s="4"/>
      <c r="F1902" s="4"/>
      <c r="G1902" s="4"/>
      <c r="H1902" s="4"/>
      <c r="I1902" s="4"/>
      <c r="J1902" s="4"/>
      <c r="K1902" s="4"/>
      <c r="L1902" s="4"/>
      <c r="M1902" s="4"/>
      <c r="N1902" s="4"/>
      <c r="O1902" s="4"/>
      <c r="P1902" s="4"/>
    </row>
    <row r="1903" spans="1:16" x14ac:dyDescent="0.25">
      <c r="A1903" s="4" t="s">
        <v>243</v>
      </c>
      <c r="B1903" s="4"/>
      <c r="C1903" s="4"/>
      <c r="D1903" s="4"/>
      <c r="E1903" s="4"/>
      <c r="F1903" s="4"/>
      <c r="G1903" s="4"/>
      <c r="H1903" s="4"/>
      <c r="I1903" s="4"/>
      <c r="J1903" s="4"/>
      <c r="K1903" s="4"/>
      <c r="L1903" s="4"/>
      <c r="M1903" s="4"/>
      <c r="N1903" s="4"/>
      <c r="O1903" s="4"/>
      <c r="P1903" s="4"/>
    </row>
    <row r="1904" spans="1:16" x14ac:dyDescent="0.25">
      <c r="A1904" s="4" t="s">
        <v>244</v>
      </c>
      <c r="B1904" s="4" t="s">
        <v>265</v>
      </c>
      <c r="C1904" s="4" t="s">
        <v>265</v>
      </c>
      <c r="D1904" s="4" t="s">
        <v>265</v>
      </c>
      <c r="E1904" s="4" t="s">
        <v>265</v>
      </c>
      <c r="F1904" s="4" t="s">
        <v>265</v>
      </c>
      <c r="G1904" s="4" t="s">
        <v>265</v>
      </c>
      <c r="H1904" s="4"/>
      <c r="I1904" s="4"/>
      <c r="J1904" s="4"/>
      <c r="K1904" s="4"/>
      <c r="L1904" s="4"/>
      <c r="M1904" s="4"/>
      <c r="N1904" s="4"/>
      <c r="O1904" s="4"/>
      <c r="P1904" s="4"/>
    </row>
    <row r="1905" spans="1:16" x14ac:dyDescent="0.25">
      <c r="A1905" s="4" t="s">
        <v>245</v>
      </c>
      <c r="B1905" s="4"/>
      <c r="C1905" s="4"/>
      <c r="D1905" s="4"/>
      <c r="E1905" s="4"/>
      <c r="F1905" s="4"/>
      <c r="G1905" s="4"/>
      <c r="H1905" s="4"/>
      <c r="I1905" s="4"/>
      <c r="J1905" s="4"/>
      <c r="K1905" s="4"/>
      <c r="L1905" s="4"/>
      <c r="M1905" s="4"/>
      <c r="N1905" s="4"/>
      <c r="O1905" s="4"/>
      <c r="P1905" s="4"/>
    </row>
    <row r="1906" spans="1:16" x14ac:dyDescent="0.25">
      <c r="A1906" s="4" t="s">
        <v>246</v>
      </c>
      <c r="B1906" s="4"/>
      <c r="C1906" s="4"/>
      <c r="D1906" s="4"/>
      <c r="E1906" s="4"/>
      <c r="F1906" s="4"/>
      <c r="G1906" s="4"/>
      <c r="H1906" s="4"/>
      <c r="I1906" s="4"/>
      <c r="J1906" s="4"/>
      <c r="K1906" s="4"/>
      <c r="L1906" s="4"/>
      <c r="M1906" s="4"/>
      <c r="N1906" s="4"/>
      <c r="O1906" s="4"/>
      <c r="P1906" s="4"/>
    </row>
    <row r="1907" spans="1:16" x14ac:dyDescent="0.25">
      <c r="A1907" s="4" t="s">
        <v>247</v>
      </c>
      <c r="B1907" s="4"/>
      <c r="C1907" s="4"/>
      <c r="D1907" s="4"/>
      <c r="E1907" s="4"/>
      <c r="F1907" s="4"/>
      <c r="G1907" s="4"/>
      <c r="H1907" s="4"/>
      <c r="I1907" s="4"/>
      <c r="J1907" s="4"/>
      <c r="K1907" s="4"/>
      <c r="L1907" s="4"/>
      <c r="M1907" s="3">
        <v>0.20833333333333334</v>
      </c>
      <c r="N1907" s="4"/>
      <c r="O1907" s="4"/>
      <c r="P1907" s="4"/>
    </row>
    <row r="1908" spans="1:16" x14ac:dyDescent="0.25">
      <c r="A1908" s="4" t="s">
        <v>248</v>
      </c>
      <c r="B1908" s="4"/>
      <c r="C1908" s="4"/>
      <c r="D1908" s="4"/>
      <c r="E1908" s="4"/>
      <c r="F1908" s="4"/>
      <c r="G1908" s="4"/>
      <c r="H1908" s="4"/>
      <c r="I1908" s="4"/>
      <c r="J1908" s="4"/>
      <c r="K1908" s="4"/>
      <c r="L1908" s="4"/>
      <c r="M1908" s="4"/>
      <c r="N1908" s="4"/>
      <c r="O1908" s="4"/>
      <c r="P1908" s="4"/>
    </row>
    <row r="1909" spans="1:16" x14ac:dyDescent="0.25">
      <c r="A1909" s="4" t="s">
        <v>249</v>
      </c>
      <c r="B1909" s="4"/>
      <c r="C1909" s="4"/>
      <c r="D1909" s="4"/>
      <c r="E1909" s="4"/>
      <c r="F1909" s="4"/>
      <c r="G1909" s="4"/>
      <c r="H1909" s="4"/>
      <c r="I1909" s="4"/>
      <c r="J1909" s="4"/>
      <c r="K1909" s="4"/>
      <c r="L1909" s="4"/>
      <c r="M1909" s="4"/>
      <c r="N1909" s="4"/>
      <c r="O1909" s="4"/>
      <c r="P1909" s="4"/>
    </row>
    <row r="1910" spans="1:16" x14ac:dyDescent="0.25">
      <c r="A1910" s="4" t="s">
        <v>251</v>
      </c>
      <c r="B1910" s="4"/>
      <c r="C1910" s="4"/>
      <c r="D1910" s="4"/>
      <c r="E1910" s="4"/>
      <c r="F1910" s="4"/>
      <c r="G1910" s="4"/>
      <c r="H1910" s="4"/>
      <c r="I1910" s="4"/>
      <c r="J1910" s="4"/>
      <c r="K1910" s="4"/>
      <c r="L1910" s="4"/>
      <c r="M1910" s="4"/>
      <c r="N1910" s="4"/>
      <c r="O1910" s="4"/>
      <c r="P1910" s="4"/>
    </row>
    <row r="1911" spans="1:16" x14ac:dyDescent="0.25">
      <c r="A1911" s="4" t="s">
        <v>256</v>
      </c>
      <c r="B1911" s="4"/>
      <c r="C1911" s="4"/>
      <c r="D1911" s="4"/>
      <c r="E1911" s="4"/>
      <c r="F1911" s="4"/>
      <c r="G1911" s="4"/>
      <c r="H1911" s="4"/>
      <c r="I1911" s="4"/>
      <c r="J1911" s="4"/>
      <c r="K1911" s="4"/>
      <c r="L1911" s="4"/>
      <c r="M1911" s="4"/>
      <c r="N1911" s="4"/>
      <c r="O1911" s="4"/>
      <c r="P1911" s="4"/>
    </row>
    <row r="1912" spans="1:16" x14ac:dyDescent="0.25">
      <c r="A1912" s="4" t="s">
        <v>259</v>
      </c>
      <c r="B1912" s="4"/>
      <c r="C1912" s="4"/>
      <c r="D1912" s="4"/>
      <c r="E1912" s="4"/>
      <c r="F1912" s="4"/>
      <c r="G1912" s="4"/>
      <c r="H1912" s="4"/>
      <c r="I1912" s="4"/>
      <c r="J1912" s="4"/>
      <c r="K1912" s="4"/>
      <c r="L1912" s="4"/>
      <c r="M1912" s="4"/>
      <c r="N1912" s="4"/>
      <c r="O1912" s="4"/>
      <c r="P1912" s="4"/>
    </row>
    <row r="1913" spans="1:16" x14ac:dyDescent="0.25">
      <c r="A1913" s="4" t="s">
        <v>260</v>
      </c>
      <c r="B1913" s="4"/>
      <c r="C1913" s="4"/>
      <c r="D1913" s="4"/>
      <c r="E1913" s="4"/>
      <c r="F1913" s="4"/>
      <c r="G1913" s="4"/>
      <c r="H1913" s="4"/>
      <c r="I1913" s="4"/>
      <c r="J1913" s="4"/>
      <c r="K1913" s="4"/>
      <c r="L1913" s="4"/>
      <c r="M1913" s="4"/>
      <c r="N1913" s="4"/>
      <c r="O1913" s="4"/>
      <c r="P1913" s="4"/>
    </row>
    <row r="1914" spans="1:16" x14ac:dyDescent="0.25">
      <c r="A1914" s="4" t="s">
        <v>261</v>
      </c>
      <c r="B1914" s="4"/>
      <c r="C1914" s="4"/>
      <c r="D1914" s="4"/>
      <c r="E1914" s="4"/>
      <c r="F1914" s="4"/>
      <c r="G1914" s="4"/>
      <c r="H1914" s="4"/>
      <c r="I1914" s="4"/>
      <c r="J1914" s="4"/>
      <c r="K1914" s="4"/>
      <c r="L1914" s="4"/>
      <c r="M1914" s="3">
        <v>0.20833333333333334</v>
      </c>
      <c r="N1914" s="4"/>
      <c r="O1914" s="4"/>
      <c r="P1914" s="4"/>
    </row>
    <row r="1915" spans="1:16" x14ac:dyDescent="0.25">
      <c r="A1915" s="4" t="s">
        <v>262</v>
      </c>
      <c r="B1915" s="4" t="s">
        <v>52</v>
      </c>
      <c r="C1915" s="4" t="s">
        <v>52</v>
      </c>
      <c r="D1915" s="4" t="s">
        <v>52</v>
      </c>
      <c r="E1915" s="4" t="s">
        <v>52</v>
      </c>
      <c r="F1915" s="4"/>
      <c r="G1915" s="4"/>
      <c r="H1915" s="3">
        <v>0.33333333333333331</v>
      </c>
      <c r="I1915" s="3">
        <v>0.33333333333333331</v>
      </c>
      <c r="J1915" s="3">
        <v>0.33333333333333331</v>
      </c>
      <c r="K1915" s="4"/>
      <c r="L1915" s="4"/>
      <c r="M1915" s="4"/>
      <c r="N1915" s="4"/>
      <c r="O1915" s="4"/>
      <c r="P1915" s="4"/>
    </row>
    <row r="1916" spans="1:16" x14ac:dyDescent="0.25">
      <c r="A1916" s="4" t="s">
        <v>263</v>
      </c>
      <c r="B1916" s="4" t="s">
        <v>52</v>
      </c>
      <c r="C1916" s="4" t="s">
        <v>52</v>
      </c>
      <c r="D1916" s="4" t="s">
        <v>52</v>
      </c>
      <c r="E1916" s="4" t="s">
        <v>52</v>
      </c>
      <c r="F1916" s="4"/>
      <c r="G1916" s="4"/>
      <c r="H1916" s="3">
        <v>0.375</v>
      </c>
      <c r="I1916" s="3">
        <v>0.375</v>
      </c>
      <c r="J1916" s="3">
        <v>0.375</v>
      </c>
      <c r="K1916" s="4"/>
      <c r="L1916" s="4"/>
      <c r="M1916" s="4"/>
      <c r="N1916" s="4"/>
      <c r="O1916" s="4"/>
      <c r="P1916" s="4"/>
    </row>
    <row r="1917" spans="1:16" x14ac:dyDescent="0.25">
      <c r="A1917" s="4" t="s">
        <v>264</v>
      </c>
      <c r="B1917" s="4" t="s">
        <v>52</v>
      </c>
      <c r="C1917" s="4" t="s">
        <v>52</v>
      </c>
      <c r="D1917" s="4" t="s">
        <v>52</v>
      </c>
      <c r="E1917" s="4" t="s">
        <v>52</v>
      </c>
      <c r="F1917" s="4"/>
      <c r="G1917" s="4"/>
      <c r="H1917" s="3">
        <v>0.375</v>
      </c>
      <c r="I1917" s="3">
        <v>0.375</v>
      </c>
      <c r="J1917" s="3">
        <v>0.375</v>
      </c>
      <c r="K1917" s="4"/>
      <c r="L1917" s="4"/>
      <c r="M1917" s="4"/>
      <c r="N1917" s="4"/>
      <c r="O1917" s="4"/>
      <c r="P1917" s="4"/>
    </row>
    <row r="1919" spans="1:16" x14ac:dyDescent="0.25">
      <c r="A1919" s="7" t="s">
        <v>45</v>
      </c>
    </row>
    <row r="1922" spans="1:13" x14ac:dyDescent="0.25">
      <c r="A1922" s="7" t="s">
        <v>46</v>
      </c>
    </row>
    <row r="1923" spans="1:13" x14ac:dyDescent="0.25">
      <c r="A1923" s="7" t="s">
        <v>291</v>
      </c>
      <c r="F1923" s="7" t="s">
        <v>47</v>
      </c>
    </row>
    <row r="1924" spans="1:13" x14ac:dyDescent="0.25">
      <c r="F1924" s="7"/>
    </row>
    <row r="1928" spans="1:13" x14ac:dyDescent="0.25">
      <c r="G1928" s="1" t="s">
        <v>18</v>
      </c>
    </row>
    <row r="1929" spans="1:13" x14ac:dyDescent="0.25">
      <c r="A1929" s="1" t="s">
        <v>1</v>
      </c>
      <c r="B1929" t="s">
        <v>2</v>
      </c>
      <c r="H1929" s="1" t="s">
        <v>19</v>
      </c>
      <c r="I1929" s="1" t="s">
        <v>20</v>
      </c>
      <c r="J1929" s="1" t="s">
        <v>21</v>
      </c>
      <c r="K1929" s="1" t="s">
        <v>22</v>
      </c>
      <c r="L1929" s="1" t="s">
        <v>23</v>
      </c>
      <c r="M1929" s="1" t="s">
        <v>24</v>
      </c>
    </row>
    <row r="1930" spans="1:13" x14ac:dyDescent="0.25">
      <c r="A1930" s="1" t="s">
        <v>3</v>
      </c>
      <c r="B1930" t="s">
        <v>4</v>
      </c>
      <c r="G1930" s="1" t="s">
        <v>220</v>
      </c>
      <c r="H1930" s="3">
        <v>0.375</v>
      </c>
      <c r="I1930" s="3">
        <v>0.5</v>
      </c>
      <c r="J1930" s="3">
        <v>0.54166666666666663</v>
      </c>
      <c r="K1930" s="3">
        <v>0.75</v>
      </c>
      <c r="L1930" s="4"/>
      <c r="M1930" s="4"/>
    </row>
    <row r="1931" spans="1:13" x14ac:dyDescent="0.25">
      <c r="A1931" s="1" t="s">
        <v>5</v>
      </c>
      <c r="B1931" t="s">
        <v>6</v>
      </c>
      <c r="G1931" s="1" t="s">
        <v>221</v>
      </c>
      <c r="H1931" s="3">
        <v>0.375</v>
      </c>
      <c r="I1931" s="3">
        <v>0.5</v>
      </c>
      <c r="J1931" s="3">
        <v>0.54166666666666663</v>
      </c>
      <c r="K1931" s="3">
        <v>0.79166666666666663</v>
      </c>
      <c r="L1931" s="4"/>
      <c r="M1931" s="4"/>
    </row>
    <row r="1932" spans="1:13" x14ac:dyDescent="0.25">
      <c r="G1932" s="1" t="s">
        <v>222</v>
      </c>
      <c r="H1932" s="3">
        <v>0.375</v>
      </c>
      <c r="I1932" s="3">
        <v>0.5</v>
      </c>
      <c r="J1932" s="3">
        <v>0.54166666666666663</v>
      </c>
      <c r="K1932" s="3">
        <v>0.79166666666666663</v>
      </c>
      <c r="L1932" s="4"/>
      <c r="M1932" s="4"/>
    </row>
    <row r="1933" spans="1:13" x14ac:dyDescent="0.25">
      <c r="A1933" s="1" t="s">
        <v>7</v>
      </c>
      <c r="B1933" t="s">
        <v>112</v>
      </c>
      <c r="G1933" s="1" t="s">
        <v>223</v>
      </c>
      <c r="H1933" s="3">
        <v>0.375</v>
      </c>
      <c r="I1933" s="3">
        <v>0.5</v>
      </c>
      <c r="J1933" s="3">
        <v>0.54166666666666663</v>
      </c>
      <c r="K1933" s="3">
        <v>0.79166666666666663</v>
      </c>
      <c r="L1933" s="4"/>
      <c r="M1933" s="4"/>
    </row>
    <row r="1934" spans="1:13" x14ac:dyDescent="0.25">
      <c r="A1934" s="1" t="s">
        <v>9</v>
      </c>
      <c r="B1934" t="s">
        <v>113</v>
      </c>
      <c r="D1934" s="1" t="s">
        <v>11</v>
      </c>
      <c r="E1934" t="s">
        <v>113</v>
      </c>
      <c r="G1934" s="1" t="s">
        <v>224</v>
      </c>
      <c r="H1934" s="3">
        <v>0.375</v>
      </c>
      <c r="I1934" s="3">
        <v>0.5</v>
      </c>
      <c r="J1934" s="3">
        <v>0.54166666666666663</v>
      </c>
      <c r="K1934" s="3">
        <v>0.79166666666666663</v>
      </c>
      <c r="L1934" s="4"/>
      <c r="M1934" s="4"/>
    </row>
    <row r="1935" spans="1:13" x14ac:dyDescent="0.25">
      <c r="A1935" s="1" t="s">
        <v>12</v>
      </c>
      <c r="D1935" s="1" t="s">
        <v>13</v>
      </c>
      <c r="E1935" s="2">
        <v>42278</v>
      </c>
      <c r="G1935" s="1" t="s">
        <v>225</v>
      </c>
      <c r="H1935" s="4" t="s">
        <v>25</v>
      </c>
      <c r="I1935" s="4" t="s">
        <v>25</v>
      </c>
      <c r="J1935" s="4" t="s">
        <v>25</v>
      </c>
      <c r="K1935" s="4" t="s">
        <v>25</v>
      </c>
      <c r="L1935" s="4" t="s">
        <v>25</v>
      </c>
      <c r="M1935" s="4" t="s">
        <v>25</v>
      </c>
    </row>
    <row r="1936" spans="1:13" x14ac:dyDescent="0.25">
      <c r="A1936" s="1" t="s">
        <v>14</v>
      </c>
      <c r="B1936" t="s">
        <v>58</v>
      </c>
      <c r="G1936" s="1" t="s">
        <v>226</v>
      </c>
      <c r="H1936" s="4" t="s">
        <v>25</v>
      </c>
      <c r="I1936" s="4" t="s">
        <v>25</v>
      </c>
      <c r="J1936" s="4" t="s">
        <v>25</v>
      </c>
      <c r="K1936" s="4" t="s">
        <v>25</v>
      </c>
      <c r="L1936" s="4" t="s">
        <v>25</v>
      </c>
      <c r="M1936" s="4" t="s">
        <v>25</v>
      </c>
    </row>
    <row r="1937" spans="1:16" x14ac:dyDescent="0.25">
      <c r="A1937" s="1" t="s">
        <v>16</v>
      </c>
      <c r="B1937" t="s">
        <v>17</v>
      </c>
    </row>
    <row r="1940" spans="1:16" x14ac:dyDescent="0.25">
      <c r="A1940" s="5" t="s">
        <v>26</v>
      </c>
      <c r="B1940" s="5" t="s">
        <v>27</v>
      </c>
      <c r="C1940" s="5" t="s">
        <v>28</v>
      </c>
      <c r="D1940" s="5" t="s">
        <v>29</v>
      </c>
      <c r="E1940" s="5" t="s">
        <v>30</v>
      </c>
      <c r="F1940" s="5" t="s">
        <v>31</v>
      </c>
      <c r="G1940" s="5" t="s">
        <v>32</v>
      </c>
      <c r="H1940" s="5" t="s">
        <v>33</v>
      </c>
      <c r="I1940" s="5" t="s">
        <v>34</v>
      </c>
      <c r="J1940" s="5" t="s">
        <v>35</v>
      </c>
      <c r="K1940" s="5" t="s">
        <v>36</v>
      </c>
      <c r="L1940" s="5" t="s">
        <v>37</v>
      </c>
      <c r="M1940" s="5" t="s">
        <v>38</v>
      </c>
      <c r="N1940" s="5" t="s">
        <v>39</v>
      </c>
      <c r="O1940" s="5" t="s">
        <v>40</v>
      </c>
      <c r="P1940" s="5" t="s">
        <v>41</v>
      </c>
    </row>
    <row r="1941" spans="1:16" x14ac:dyDescent="0.25">
      <c r="A1941" s="4"/>
      <c r="B1941" s="4"/>
      <c r="C1941" s="4"/>
      <c r="D1941" s="4"/>
      <c r="E1941" s="4"/>
      <c r="F1941" s="4"/>
      <c r="G1941" s="4"/>
      <c r="H1941" s="6">
        <v>8.0416666666666661</v>
      </c>
      <c r="I1941" s="6">
        <v>8.0166666666666675</v>
      </c>
      <c r="J1941" s="6">
        <v>2.4583333333333335</v>
      </c>
      <c r="K1941" s="3">
        <v>0</v>
      </c>
      <c r="L1941" s="3">
        <v>0</v>
      </c>
      <c r="M1941" s="3">
        <v>0</v>
      </c>
      <c r="N1941" s="3">
        <v>0</v>
      </c>
      <c r="O1941" s="3">
        <v>2.4999999999999998E-2</v>
      </c>
      <c r="P1941" s="3">
        <v>1.0416666666666666E-2</v>
      </c>
    </row>
    <row r="1942" spans="1:16" x14ac:dyDescent="0.25">
      <c r="A1942" s="4" t="s">
        <v>227</v>
      </c>
      <c r="B1942" s="4" t="s">
        <v>55</v>
      </c>
      <c r="C1942" s="4" t="s">
        <v>55</v>
      </c>
      <c r="D1942" s="4" t="s">
        <v>55</v>
      </c>
      <c r="E1942" s="4" t="s">
        <v>55</v>
      </c>
      <c r="F1942" s="4"/>
      <c r="G1942" s="4"/>
      <c r="H1942" s="3">
        <v>0.33333333333333331</v>
      </c>
      <c r="I1942" s="3">
        <v>0.33333333333333331</v>
      </c>
      <c r="J1942" s="3">
        <v>0.33333333333333331</v>
      </c>
      <c r="K1942" s="4"/>
      <c r="L1942" s="4"/>
      <c r="M1942" s="4"/>
      <c r="N1942" s="4"/>
      <c r="O1942" s="4"/>
      <c r="P1942" s="4"/>
    </row>
    <row r="1943" spans="1:16" x14ac:dyDescent="0.25">
      <c r="A1943" s="4" t="s">
        <v>228</v>
      </c>
      <c r="B1943" s="4" t="s">
        <v>55</v>
      </c>
      <c r="C1943" s="4" t="s">
        <v>55</v>
      </c>
      <c r="D1943" s="4" t="s">
        <v>55</v>
      </c>
      <c r="E1943" s="4" t="s">
        <v>55</v>
      </c>
      <c r="F1943" s="4"/>
      <c r="G1943" s="4"/>
      <c r="H1943" s="3">
        <v>0.375</v>
      </c>
      <c r="I1943" s="3">
        <v>0.375</v>
      </c>
      <c r="J1943" s="3">
        <v>0.375</v>
      </c>
      <c r="K1943" s="4"/>
      <c r="L1943" s="4"/>
      <c r="M1943" s="4"/>
      <c r="N1943" s="4"/>
      <c r="O1943" s="4"/>
      <c r="P1943" s="4"/>
    </row>
    <row r="1944" spans="1:16" x14ac:dyDescent="0.25">
      <c r="A1944" s="4" t="s">
        <v>229</v>
      </c>
      <c r="B1944" s="4" t="s">
        <v>55</v>
      </c>
      <c r="C1944" s="4" t="s">
        <v>55</v>
      </c>
      <c r="D1944" s="4" t="s">
        <v>55</v>
      </c>
      <c r="E1944" s="4" t="s">
        <v>55</v>
      </c>
      <c r="F1944" s="4"/>
      <c r="G1944" s="4"/>
      <c r="H1944" s="3">
        <v>0.375</v>
      </c>
      <c r="I1944" s="3">
        <v>0.375</v>
      </c>
      <c r="J1944" s="3">
        <v>0.375</v>
      </c>
      <c r="K1944" s="4"/>
      <c r="L1944" s="4"/>
      <c r="M1944" s="4"/>
      <c r="N1944" s="4"/>
      <c r="O1944" s="4"/>
      <c r="P1944" s="4"/>
    </row>
    <row r="1945" spans="1:16" x14ac:dyDescent="0.25">
      <c r="A1945" s="4" t="s">
        <v>230</v>
      </c>
      <c r="B1945" s="3">
        <v>0.37916666666666665</v>
      </c>
      <c r="C1945" s="3">
        <v>0.53263888888888888</v>
      </c>
      <c r="D1945" s="3">
        <v>0.57291666666666663</v>
      </c>
      <c r="E1945" s="3">
        <v>0.7944444444444444</v>
      </c>
      <c r="F1945" s="4"/>
      <c r="G1945" s="4"/>
      <c r="H1945" s="3">
        <v>0.375</v>
      </c>
      <c r="I1945" s="3">
        <v>0.375</v>
      </c>
      <c r="J1945" s="4"/>
      <c r="K1945" s="4"/>
      <c r="L1945" s="4"/>
      <c r="M1945" s="4"/>
      <c r="N1945" s="4"/>
      <c r="O1945" s="4"/>
      <c r="P1945" s="4"/>
    </row>
    <row r="1946" spans="1:16" x14ac:dyDescent="0.25">
      <c r="A1946" s="4" t="s">
        <v>231</v>
      </c>
      <c r="B1946" s="3">
        <v>0.3923611111111111</v>
      </c>
      <c r="C1946" s="3">
        <v>0.49791666666666662</v>
      </c>
      <c r="D1946" s="3">
        <v>0.54722222222222217</v>
      </c>
      <c r="E1946" s="3">
        <v>0.81527777777777777</v>
      </c>
      <c r="F1946" s="4"/>
      <c r="G1946" s="4"/>
      <c r="H1946" s="3">
        <v>0.375</v>
      </c>
      <c r="I1946" s="3">
        <v>0.375</v>
      </c>
      <c r="J1946" s="4"/>
      <c r="K1946" s="4"/>
      <c r="L1946" s="4"/>
      <c r="M1946" s="4"/>
      <c r="N1946" s="4"/>
      <c r="O1946" s="4"/>
      <c r="P1946" s="4"/>
    </row>
    <row r="1947" spans="1:16" x14ac:dyDescent="0.25">
      <c r="A1947" s="4" t="s">
        <v>232</v>
      </c>
      <c r="B1947" s="4" t="s">
        <v>25</v>
      </c>
      <c r="C1947" s="4" t="s">
        <v>25</v>
      </c>
      <c r="D1947" s="4" t="s">
        <v>25</v>
      </c>
      <c r="E1947" s="4" t="s">
        <v>25</v>
      </c>
      <c r="F1947" s="4"/>
      <c r="G1947" s="4"/>
      <c r="H1947" s="4"/>
      <c r="I1947" s="4"/>
      <c r="J1947" s="4"/>
      <c r="K1947" s="4"/>
      <c r="L1947" s="4"/>
      <c r="M1947" s="4"/>
      <c r="N1947" s="4"/>
      <c r="O1947" s="4"/>
      <c r="P1947" s="4"/>
    </row>
    <row r="1948" spans="1:16" x14ac:dyDescent="0.25">
      <c r="A1948" s="4" t="s">
        <v>233</v>
      </c>
      <c r="B1948" s="4" t="s">
        <v>25</v>
      </c>
      <c r="C1948" s="4" t="s">
        <v>25</v>
      </c>
      <c r="D1948" s="4" t="s">
        <v>25</v>
      </c>
      <c r="E1948" s="4" t="s">
        <v>25</v>
      </c>
      <c r="F1948" s="4"/>
      <c r="G1948" s="4"/>
      <c r="H1948" s="4"/>
      <c r="I1948" s="4"/>
      <c r="J1948" s="4"/>
      <c r="K1948" s="4"/>
      <c r="L1948" s="4"/>
      <c r="M1948" s="4"/>
      <c r="N1948" s="4"/>
      <c r="O1948" s="4"/>
      <c r="P1948" s="4"/>
    </row>
    <row r="1949" spans="1:16" x14ac:dyDescent="0.25">
      <c r="A1949" s="4" t="s">
        <v>234</v>
      </c>
      <c r="B1949" s="3">
        <v>0.38680555555555557</v>
      </c>
      <c r="C1949" s="3">
        <v>0.5395833333333333</v>
      </c>
      <c r="D1949" s="3">
        <v>0.57291666666666663</v>
      </c>
      <c r="E1949" s="3">
        <v>0.75763888888888886</v>
      </c>
      <c r="F1949" s="4"/>
      <c r="G1949" s="4"/>
      <c r="H1949" s="3">
        <v>0.33333333333333331</v>
      </c>
      <c r="I1949" s="3">
        <v>0.33333333333333331</v>
      </c>
      <c r="J1949" s="4"/>
      <c r="K1949" s="4"/>
      <c r="L1949" s="4"/>
      <c r="M1949" s="4"/>
      <c r="N1949" s="4"/>
      <c r="O1949" s="4"/>
      <c r="P1949" s="4"/>
    </row>
    <row r="1950" spans="1:16" x14ac:dyDescent="0.25">
      <c r="A1950" s="4" t="s">
        <v>235</v>
      </c>
      <c r="B1950" s="3">
        <v>0.39305555555555555</v>
      </c>
      <c r="C1950" s="3">
        <v>0.53888888888888886</v>
      </c>
      <c r="D1950" s="3">
        <v>0.57430555555555551</v>
      </c>
      <c r="E1950" s="3">
        <v>0.79999999999999993</v>
      </c>
      <c r="F1950" s="4"/>
      <c r="G1950" s="4"/>
      <c r="H1950" s="3">
        <v>0.375</v>
      </c>
      <c r="I1950" s="3">
        <v>0.375</v>
      </c>
      <c r="J1950" s="4"/>
      <c r="K1950" s="4"/>
      <c r="L1950" s="4"/>
      <c r="M1950" s="4"/>
      <c r="N1950" s="4"/>
      <c r="O1950" s="4"/>
      <c r="P1950" s="4"/>
    </row>
    <row r="1951" spans="1:16" x14ac:dyDescent="0.25">
      <c r="A1951" s="4" t="s">
        <v>236</v>
      </c>
      <c r="B1951" s="3">
        <v>0.39027777777777778</v>
      </c>
      <c r="C1951" s="3">
        <v>0.51597222222222217</v>
      </c>
      <c r="D1951" s="3">
        <v>0.5541666666666667</v>
      </c>
      <c r="E1951" s="3">
        <v>0.80138888888888893</v>
      </c>
      <c r="F1951" s="4"/>
      <c r="G1951" s="4"/>
      <c r="H1951" s="3">
        <v>0.375</v>
      </c>
      <c r="I1951" s="3">
        <v>0.375</v>
      </c>
      <c r="J1951" s="4"/>
      <c r="K1951" s="4"/>
      <c r="L1951" s="4"/>
      <c r="M1951" s="4"/>
      <c r="N1951" s="4"/>
      <c r="O1951" s="4"/>
      <c r="P1951" s="4"/>
    </row>
    <row r="1952" spans="1:16" x14ac:dyDescent="0.25">
      <c r="A1952" s="4" t="s">
        <v>237</v>
      </c>
      <c r="B1952" s="3">
        <v>0.37986111111111115</v>
      </c>
      <c r="C1952" s="3">
        <v>0.53402777777777777</v>
      </c>
      <c r="D1952" s="3">
        <v>0.57152777777777775</v>
      </c>
      <c r="E1952" s="3">
        <v>0.7944444444444444</v>
      </c>
      <c r="F1952" s="4"/>
      <c r="G1952" s="4"/>
      <c r="H1952" s="3">
        <v>0.375</v>
      </c>
      <c r="I1952" s="3">
        <v>0.375</v>
      </c>
      <c r="J1952" s="4"/>
      <c r="K1952" s="4"/>
      <c r="L1952" s="4"/>
      <c r="M1952" s="4"/>
      <c r="N1952" s="4"/>
      <c r="O1952" s="4"/>
      <c r="P1952" s="4"/>
    </row>
    <row r="1953" spans="1:16" x14ac:dyDescent="0.25">
      <c r="A1953" s="4" t="s">
        <v>238</v>
      </c>
      <c r="B1953" s="3">
        <v>0.3972222222222222</v>
      </c>
      <c r="C1953" s="3">
        <v>0.53472222222222221</v>
      </c>
      <c r="D1953" s="3">
        <v>0.58263888888888882</v>
      </c>
      <c r="E1953" s="3">
        <v>0.82291666666666663</v>
      </c>
      <c r="F1953" s="4"/>
      <c r="G1953" s="4"/>
      <c r="H1953" s="3">
        <v>0.375</v>
      </c>
      <c r="I1953" s="3">
        <v>0.375</v>
      </c>
      <c r="J1953" s="4"/>
      <c r="K1953" s="4"/>
      <c r="L1953" s="4"/>
      <c r="M1953" s="4"/>
      <c r="N1953" s="4"/>
      <c r="O1953" s="4"/>
      <c r="P1953" s="4"/>
    </row>
    <row r="1954" spans="1:16" x14ac:dyDescent="0.25">
      <c r="A1954" s="4" t="s">
        <v>239</v>
      </c>
      <c r="B1954" s="4" t="s">
        <v>25</v>
      </c>
      <c r="C1954" s="4" t="s">
        <v>25</v>
      </c>
      <c r="D1954" s="4" t="s">
        <v>25</v>
      </c>
      <c r="E1954" s="4" t="s">
        <v>25</v>
      </c>
      <c r="F1954" s="4"/>
      <c r="G1954" s="4"/>
      <c r="H1954" s="4"/>
      <c r="I1954" s="4"/>
      <c r="J1954" s="4"/>
      <c r="K1954" s="4"/>
      <c r="L1954" s="4"/>
      <c r="M1954" s="4"/>
      <c r="N1954" s="4"/>
      <c r="O1954" s="4"/>
      <c r="P1954" s="4"/>
    </row>
    <row r="1955" spans="1:16" x14ac:dyDescent="0.25">
      <c r="A1955" s="4" t="s">
        <v>240</v>
      </c>
      <c r="B1955" s="4" t="s">
        <v>25</v>
      </c>
      <c r="C1955" s="4" t="s">
        <v>25</v>
      </c>
      <c r="D1955" s="4" t="s">
        <v>25</v>
      </c>
      <c r="E1955" s="4" t="s">
        <v>25</v>
      </c>
      <c r="F1955" s="4"/>
      <c r="G1955" s="4"/>
      <c r="H1955" s="4"/>
      <c r="I1955" s="4"/>
      <c r="J1955" s="4"/>
      <c r="K1955" s="4"/>
      <c r="L1955" s="4"/>
      <c r="M1955" s="4"/>
      <c r="N1955" s="4"/>
      <c r="O1955" s="4"/>
      <c r="P1955" s="4"/>
    </row>
    <row r="1956" spans="1:16" x14ac:dyDescent="0.25">
      <c r="A1956" s="4" t="s">
        <v>241</v>
      </c>
      <c r="B1956" s="3">
        <v>0.38958333333333334</v>
      </c>
      <c r="C1956" s="3">
        <v>0.5493055555555556</v>
      </c>
      <c r="D1956" s="3">
        <v>0.59027777777777779</v>
      </c>
      <c r="E1956" s="3">
        <v>0.76111111111111107</v>
      </c>
      <c r="F1956" s="4"/>
      <c r="G1956" s="4"/>
      <c r="H1956" s="3">
        <v>0.33333333333333331</v>
      </c>
      <c r="I1956" s="3">
        <v>0.33333333333333331</v>
      </c>
      <c r="J1956" s="4"/>
      <c r="K1956" s="4"/>
      <c r="L1956" s="4"/>
      <c r="M1956" s="4"/>
      <c r="N1956" s="4"/>
      <c r="O1956" s="4"/>
      <c r="P1956" s="4"/>
    </row>
    <row r="1957" spans="1:16" x14ac:dyDescent="0.25">
      <c r="A1957" s="4" t="s">
        <v>242</v>
      </c>
      <c r="B1957" s="3">
        <v>0.3833333333333333</v>
      </c>
      <c r="C1957" s="3">
        <v>0.52569444444444446</v>
      </c>
      <c r="D1957" s="3">
        <v>0.56666666666666665</v>
      </c>
      <c r="E1957" s="3">
        <v>0.79861111111111116</v>
      </c>
      <c r="F1957" s="4"/>
      <c r="G1957" s="4"/>
      <c r="H1957" s="3">
        <v>0.375</v>
      </c>
      <c r="I1957" s="3">
        <v>0.375</v>
      </c>
      <c r="J1957" s="4"/>
      <c r="K1957" s="4"/>
      <c r="L1957" s="4"/>
      <c r="M1957" s="4"/>
      <c r="N1957" s="4"/>
      <c r="O1957" s="4"/>
      <c r="P1957" s="4"/>
    </row>
    <row r="1958" spans="1:16" x14ac:dyDescent="0.25">
      <c r="A1958" s="4" t="s">
        <v>243</v>
      </c>
      <c r="B1958" s="3">
        <v>0.38541666666666669</v>
      </c>
      <c r="C1958" s="3">
        <v>0.59305555555555556</v>
      </c>
      <c r="D1958" s="3">
        <v>0.62916666666666665</v>
      </c>
      <c r="E1958" s="3">
        <v>0.79513888888888884</v>
      </c>
      <c r="F1958" s="4"/>
      <c r="G1958" s="4"/>
      <c r="H1958" s="3">
        <v>0.375</v>
      </c>
      <c r="I1958" s="3">
        <v>0.375</v>
      </c>
      <c r="J1958" s="4"/>
      <c r="K1958" s="4"/>
      <c r="L1958" s="4"/>
      <c r="M1958" s="4"/>
      <c r="N1958" s="4"/>
      <c r="O1958" s="4"/>
      <c r="P1958" s="4"/>
    </row>
    <row r="1959" spans="1:16" x14ac:dyDescent="0.25">
      <c r="A1959" s="4" t="s">
        <v>244</v>
      </c>
      <c r="B1959" s="4" t="s">
        <v>265</v>
      </c>
      <c r="C1959" s="4" t="s">
        <v>265</v>
      </c>
      <c r="D1959" s="4" t="s">
        <v>265</v>
      </c>
      <c r="E1959" s="4" t="s">
        <v>265</v>
      </c>
      <c r="F1959" s="4"/>
      <c r="G1959" s="4"/>
      <c r="H1959" s="4"/>
      <c r="I1959" s="4"/>
      <c r="J1959" s="4"/>
      <c r="K1959" s="4"/>
      <c r="L1959" s="4"/>
      <c r="M1959" s="4"/>
      <c r="N1959" s="4"/>
      <c r="O1959" s="4"/>
      <c r="P1959" s="4"/>
    </row>
    <row r="1960" spans="1:16" x14ac:dyDescent="0.25">
      <c r="A1960" s="4" t="s">
        <v>245</v>
      </c>
      <c r="B1960" s="4" t="s">
        <v>52</v>
      </c>
      <c r="C1960" s="4" t="s">
        <v>52</v>
      </c>
      <c r="D1960" s="4" t="s">
        <v>52</v>
      </c>
      <c r="E1960" s="4" t="s">
        <v>52</v>
      </c>
      <c r="F1960" s="4"/>
      <c r="G1960" s="4"/>
      <c r="H1960" s="3">
        <v>0.375</v>
      </c>
      <c r="I1960" s="3">
        <v>0.375</v>
      </c>
      <c r="J1960" s="3">
        <v>0.375</v>
      </c>
      <c r="K1960" s="4"/>
      <c r="L1960" s="4"/>
      <c r="M1960" s="4"/>
      <c r="N1960" s="4"/>
      <c r="O1960" s="4"/>
      <c r="P1960" s="4"/>
    </row>
    <row r="1961" spans="1:16" x14ac:dyDescent="0.25">
      <c r="A1961" s="4" t="s">
        <v>246</v>
      </c>
      <c r="B1961" s="4" t="s">
        <v>25</v>
      </c>
      <c r="C1961" s="4" t="s">
        <v>25</v>
      </c>
      <c r="D1961" s="4" t="s">
        <v>25</v>
      </c>
      <c r="E1961" s="4" t="s">
        <v>25</v>
      </c>
      <c r="F1961" s="4"/>
      <c r="G1961" s="4"/>
      <c r="H1961" s="4"/>
      <c r="I1961" s="4"/>
      <c r="J1961" s="4"/>
      <c r="K1961" s="4"/>
      <c r="L1961" s="4"/>
      <c r="M1961" s="4"/>
      <c r="N1961" s="4"/>
      <c r="O1961" s="4"/>
      <c r="P1961" s="4"/>
    </row>
    <row r="1962" spans="1:16" x14ac:dyDescent="0.25">
      <c r="A1962" s="4" t="s">
        <v>247</v>
      </c>
      <c r="B1962" s="4" t="s">
        <v>25</v>
      </c>
      <c r="C1962" s="4" t="s">
        <v>25</v>
      </c>
      <c r="D1962" s="4" t="s">
        <v>25</v>
      </c>
      <c r="E1962" s="4" t="s">
        <v>25</v>
      </c>
      <c r="F1962" s="4"/>
      <c r="G1962" s="4"/>
      <c r="H1962" s="4"/>
      <c r="I1962" s="4"/>
      <c r="J1962" s="4"/>
      <c r="K1962" s="4"/>
      <c r="L1962" s="4"/>
      <c r="M1962" s="4"/>
      <c r="N1962" s="4"/>
      <c r="O1962" s="4"/>
      <c r="P1962" s="4"/>
    </row>
    <row r="1963" spans="1:16" x14ac:dyDescent="0.25">
      <c r="A1963" s="4" t="s">
        <v>248</v>
      </c>
      <c r="B1963" s="3">
        <v>0.39861111111111108</v>
      </c>
      <c r="C1963" s="3">
        <v>0.5229166666666667</v>
      </c>
      <c r="D1963" s="3">
        <v>0.5625</v>
      </c>
      <c r="E1963" s="3">
        <v>0.76527777777777783</v>
      </c>
      <c r="F1963" s="4"/>
      <c r="G1963" s="4"/>
      <c r="H1963" s="3">
        <v>0.33333333333333331</v>
      </c>
      <c r="I1963" s="3">
        <v>0.33333333333333331</v>
      </c>
      <c r="J1963" s="4"/>
      <c r="K1963" s="4"/>
      <c r="L1963" s="4"/>
      <c r="M1963" s="4"/>
      <c r="N1963" s="4"/>
      <c r="O1963" s="4"/>
      <c r="P1963" s="4"/>
    </row>
    <row r="1964" spans="1:16" x14ac:dyDescent="0.25">
      <c r="A1964" s="4" t="s">
        <v>249</v>
      </c>
      <c r="B1964" s="3">
        <v>0.39027777777777778</v>
      </c>
      <c r="C1964" s="3">
        <v>0.49652777777777773</v>
      </c>
      <c r="D1964" s="4" t="s">
        <v>52</v>
      </c>
      <c r="E1964" s="4" t="s">
        <v>52</v>
      </c>
      <c r="F1964" s="4"/>
      <c r="G1964" s="4"/>
      <c r="H1964" s="3">
        <v>0.375</v>
      </c>
      <c r="I1964" s="3">
        <v>0.35972222222222222</v>
      </c>
      <c r="J1964" s="3">
        <v>0.25</v>
      </c>
      <c r="K1964" s="4"/>
      <c r="L1964" s="4"/>
      <c r="M1964" s="4"/>
      <c r="N1964" s="4"/>
      <c r="O1964" s="3">
        <v>1.5277777777777777E-2</v>
      </c>
      <c r="P1964" s="4"/>
    </row>
    <row r="1965" spans="1:16" x14ac:dyDescent="0.25">
      <c r="A1965" s="4" t="s">
        <v>251</v>
      </c>
      <c r="B1965" s="4" t="s">
        <v>52</v>
      </c>
      <c r="C1965" s="4" t="s">
        <v>52</v>
      </c>
      <c r="D1965" s="4" t="s">
        <v>52</v>
      </c>
      <c r="E1965" s="4" t="s">
        <v>52</v>
      </c>
      <c r="F1965" s="4"/>
      <c r="G1965" s="4"/>
      <c r="H1965" s="3">
        <v>0.375</v>
      </c>
      <c r="I1965" s="3">
        <v>0.375</v>
      </c>
      <c r="J1965" s="3">
        <v>0.375</v>
      </c>
      <c r="K1965" s="4"/>
      <c r="L1965" s="4"/>
      <c r="M1965" s="4"/>
      <c r="N1965" s="4"/>
      <c r="O1965" s="4"/>
      <c r="P1965" s="4"/>
    </row>
    <row r="1966" spans="1:16" x14ac:dyDescent="0.25">
      <c r="A1966" s="4" t="s">
        <v>256</v>
      </c>
      <c r="B1966" s="4" t="s">
        <v>51</v>
      </c>
      <c r="C1966" s="4" t="s">
        <v>51</v>
      </c>
      <c r="D1966" s="4" t="s">
        <v>52</v>
      </c>
      <c r="E1966" s="4" t="s">
        <v>52</v>
      </c>
      <c r="F1966" s="4"/>
      <c r="G1966" s="4"/>
      <c r="H1966" s="3">
        <v>0.375</v>
      </c>
      <c r="I1966" s="3">
        <v>0.375</v>
      </c>
      <c r="J1966" s="3">
        <v>0.375</v>
      </c>
      <c r="K1966" s="4"/>
      <c r="L1966" s="4"/>
      <c r="M1966" s="4"/>
      <c r="N1966" s="4"/>
      <c r="O1966" s="4"/>
      <c r="P1966" s="4"/>
    </row>
    <row r="1967" spans="1:16" x14ac:dyDescent="0.25">
      <c r="A1967" s="4" t="s">
        <v>259</v>
      </c>
      <c r="B1967" s="3">
        <v>0.38819444444444445</v>
      </c>
      <c r="C1967" s="3">
        <v>0.56319444444444444</v>
      </c>
      <c r="D1967" s="3">
        <v>0.60833333333333328</v>
      </c>
      <c r="E1967" s="3">
        <v>0.79861111111111116</v>
      </c>
      <c r="F1967" s="4"/>
      <c r="G1967" s="4"/>
      <c r="H1967" s="3">
        <v>0.375</v>
      </c>
      <c r="I1967" s="3">
        <v>0.36527777777777781</v>
      </c>
      <c r="J1967" s="4"/>
      <c r="K1967" s="4"/>
      <c r="L1967" s="4"/>
      <c r="M1967" s="4"/>
      <c r="N1967" s="4"/>
      <c r="O1967" s="3">
        <v>9.7222222222222224E-3</v>
      </c>
      <c r="P1967" s="4"/>
    </row>
    <row r="1968" spans="1:16" x14ac:dyDescent="0.25">
      <c r="A1968" s="4" t="s">
        <v>260</v>
      </c>
      <c r="B1968" s="4" t="s">
        <v>25</v>
      </c>
      <c r="C1968" s="4" t="s">
        <v>25</v>
      </c>
      <c r="D1968" s="4" t="s">
        <v>25</v>
      </c>
      <c r="E1968" s="4" t="s">
        <v>25</v>
      </c>
      <c r="F1968" s="4"/>
      <c r="G1968" s="4"/>
      <c r="H1968" s="4"/>
      <c r="I1968" s="4"/>
      <c r="J1968" s="4"/>
      <c r="K1968" s="4"/>
      <c r="L1968" s="4"/>
      <c r="M1968" s="4"/>
      <c r="N1968" s="4"/>
      <c r="O1968" s="4"/>
      <c r="P1968" s="4"/>
    </row>
    <row r="1969" spans="1:16" x14ac:dyDescent="0.25">
      <c r="A1969" s="4" t="s">
        <v>261</v>
      </c>
      <c r="B1969" s="4" t="s">
        <v>25</v>
      </c>
      <c r="C1969" s="4" t="s">
        <v>25</v>
      </c>
      <c r="D1969" s="4" t="s">
        <v>25</v>
      </c>
      <c r="E1969" s="4" t="s">
        <v>25</v>
      </c>
      <c r="F1969" s="4"/>
      <c r="G1969" s="4"/>
      <c r="H1969" s="4"/>
      <c r="I1969" s="4"/>
      <c r="J1969" s="4"/>
      <c r="K1969" s="4"/>
      <c r="L1969" s="4"/>
      <c r="M1969" s="4"/>
      <c r="N1969" s="4"/>
      <c r="O1969" s="4"/>
      <c r="P1969" s="4"/>
    </row>
    <row r="1970" spans="1:16" x14ac:dyDescent="0.25">
      <c r="A1970" s="4" t="s">
        <v>262</v>
      </c>
      <c r="B1970" s="3">
        <v>0.38680555555555557</v>
      </c>
      <c r="C1970" s="3">
        <v>0.53749999999999998</v>
      </c>
      <c r="D1970" s="3">
        <v>0.57847222222222217</v>
      </c>
      <c r="E1970" s="3">
        <v>0.76180555555555562</v>
      </c>
      <c r="F1970" s="4"/>
      <c r="G1970" s="4"/>
      <c r="H1970" s="3">
        <v>0.33333333333333331</v>
      </c>
      <c r="I1970" s="3">
        <v>0.33333333333333331</v>
      </c>
      <c r="J1970" s="4"/>
      <c r="K1970" s="4"/>
      <c r="L1970" s="4"/>
      <c r="M1970" s="4"/>
      <c r="N1970" s="4"/>
      <c r="O1970" s="4"/>
      <c r="P1970" s="4"/>
    </row>
    <row r="1971" spans="1:16" x14ac:dyDescent="0.25">
      <c r="A1971" s="4" t="s">
        <v>263</v>
      </c>
      <c r="B1971" s="3">
        <v>0.38541666666666669</v>
      </c>
      <c r="C1971" s="3">
        <v>0.53055555555555556</v>
      </c>
      <c r="D1971" s="3">
        <v>0.56944444444444442</v>
      </c>
      <c r="E1971" s="3">
        <v>0.80972222222222223</v>
      </c>
      <c r="F1971" s="4"/>
      <c r="G1971" s="4"/>
      <c r="H1971" s="3">
        <v>0.375</v>
      </c>
      <c r="I1971" s="3">
        <v>0.375</v>
      </c>
      <c r="J1971" s="4"/>
      <c r="K1971" s="4"/>
      <c r="L1971" s="4"/>
      <c r="M1971" s="4"/>
      <c r="N1971" s="4"/>
      <c r="O1971" s="4"/>
      <c r="P1971" s="3">
        <v>1.0416666666666666E-2</v>
      </c>
    </row>
    <row r="1972" spans="1:16" x14ac:dyDescent="0.25">
      <c r="A1972" s="4" t="s">
        <v>264</v>
      </c>
      <c r="B1972" s="3">
        <v>0.38055555555555554</v>
      </c>
      <c r="C1972" s="3">
        <v>0.4993055555555555</v>
      </c>
      <c r="D1972" s="3">
        <v>0.54097222222222219</v>
      </c>
      <c r="E1972" s="3">
        <v>0.79166666666666663</v>
      </c>
      <c r="F1972" s="4"/>
      <c r="G1972" s="4"/>
      <c r="H1972" s="3">
        <v>0.375</v>
      </c>
      <c r="I1972" s="3">
        <v>0.375</v>
      </c>
      <c r="J1972" s="4"/>
      <c r="K1972" s="4"/>
      <c r="L1972" s="4"/>
      <c r="M1972" s="4"/>
      <c r="N1972" s="4"/>
      <c r="O1972" s="4"/>
      <c r="P1972" s="4"/>
    </row>
    <row r="1974" spans="1:16" x14ac:dyDescent="0.25">
      <c r="A1974" s="7" t="s">
        <v>45</v>
      </c>
    </row>
    <row r="1977" spans="1:16" x14ac:dyDescent="0.25">
      <c r="A1977" s="7" t="s">
        <v>46</v>
      </c>
    </row>
    <row r="1978" spans="1:16" x14ac:dyDescent="0.25">
      <c r="A1978" s="7" t="s">
        <v>112</v>
      </c>
      <c r="F1978" s="7" t="s">
        <v>47</v>
      </c>
    </row>
    <row r="1979" spans="1:16" x14ac:dyDescent="0.25">
      <c r="F1979" s="7"/>
    </row>
    <row r="1983" spans="1:16" x14ac:dyDescent="0.25">
      <c r="G1983" s="1" t="s">
        <v>18</v>
      </c>
    </row>
    <row r="1984" spans="1:16" x14ac:dyDescent="0.25">
      <c r="A1984" s="1" t="s">
        <v>1</v>
      </c>
      <c r="B1984" t="s">
        <v>2</v>
      </c>
      <c r="H1984" s="1" t="s">
        <v>19</v>
      </c>
      <c r="I1984" s="1" t="s">
        <v>20</v>
      </c>
      <c r="J1984" s="1" t="s">
        <v>21</v>
      </c>
      <c r="K1984" s="1" t="s">
        <v>22</v>
      </c>
      <c r="L1984" s="1" t="s">
        <v>23</v>
      </c>
      <c r="M1984" s="1" t="s">
        <v>24</v>
      </c>
    </row>
    <row r="1985" spans="1:16" x14ac:dyDescent="0.25">
      <c r="A1985" s="1" t="s">
        <v>3</v>
      </c>
      <c r="B1985" t="s">
        <v>4</v>
      </c>
      <c r="G1985" s="1" t="s">
        <v>220</v>
      </c>
      <c r="H1985" s="3">
        <v>0.29166666666666669</v>
      </c>
      <c r="I1985" s="3">
        <v>0.5</v>
      </c>
      <c r="J1985" s="3">
        <v>0.54166666666666663</v>
      </c>
      <c r="K1985" s="3">
        <v>0.70833333333333337</v>
      </c>
      <c r="L1985" s="4"/>
      <c r="M1985" s="4"/>
    </row>
    <row r="1986" spans="1:16" x14ac:dyDescent="0.25">
      <c r="A1986" s="1" t="s">
        <v>5</v>
      </c>
      <c r="B1986" t="s">
        <v>6</v>
      </c>
      <c r="G1986" s="1" t="s">
        <v>221</v>
      </c>
      <c r="H1986" s="3">
        <v>0.29166666666666669</v>
      </c>
      <c r="I1986" s="3">
        <v>0.5</v>
      </c>
      <c r="J1986" s="3">
        <v>0.54166666666666663</v>
      </c>
      <c r="K1986" s="3">
        <v>0.70833333333333337</v>
      </c>
      <c r="L1986" s="4"/>
      <c r="M1986" s="4"/>
    </row>
    <row r="1987" spans="1:16" x14ac:dyDescent="0.25">
      <c r="G1987" s="1" t="s">
        <v>222</v>
      </c>
      <c r="H1987" s="3">
        <v>0.33333333333333331</v>
      </c>
      <c r="I1987" s="3">
        <v>0.5</v>
      </c>
      <c r="J1987" s="3">
        <v>0.54166666666666663</v>
      </c>
      <c r="K1987" s="3">
        <v>0.75</v>
      </c>
      <c r="L1987" s="4"/>
      <c r="M1987" s="4"/>
    </row>
    <row r="1988" spans="1:16" x14ac:dyDescent="0.25">
      <c r="A1988" s="1" t="s">
        <v>7</v>
      </c>
      <c r="B1988" t="s">
        <v>114</v>
      </c>
      <c r="G1988" s="1" t="s">
        <v>223</v>
      </c>
      <c r="H1988" s="3">
        <v>0.29166666666666669</v>
      </c>
      <c r="I1988" s="3">
        <v>0.5</v>
      </c>
      <c r="J1988" s="3">
        <v>0.54166666666666663</v>
      </c>
      <c r="K1988" s="3">
        <v>0.70833333333333337</v>
      </c>
      <c r="L1988" s="4"/>
      <c r="M1988" s="4"/>
    </row>
    <row r="1989" spans="1:16" x14ac:dyDescent="0.25">
      <c r="A1989" s="1" t="s">
        <v>9</v>
      </c>
      <c r="B1989" t="s">
        <v>115</v>
      </c>
      <c r="D1989" s="1" t="s">
        <v>11</v>
      </c>
      <c r="E1989" t="s">
        <v>115</v>
      </c>
      <c r="G1989" s="1" t="s">
        <v>224</v>
      </c>
      <c r="H1989" s="3">
        <v>0.33333333333333331</v>
      </c>
      <c r="I1989" s="3">
        <v>0.5</v>
      </c>
      <c r="J1989" s="3">
        <v>0.54166666666666663</v>
      </c>
      <c r="K1989" s="3">
        <v>0.70833333333333337</v>
      </c>
      <c r="L1989" s="4"/>
      <c r="M1989" s="4"/>
    </row>
    <row r="1990" spans="1:16" x14ac:dyDescent="0.25">
      <c r="A1990" s="1" t="s">
        <v>12</v>
      </c>
      <c r="D1990" s="1" t="s">
        <v>13</v>
      </c>
      <c r="E1990" s="2">
        <v>42278</v>
      </c>
      <c r="G1990" s="1" t="s">
        <v>225</v>
      </c>
      <c r="H1990" s="4" t="s">
        <v>25</v>
      </c>
      <c r="I1990" s="4" t="s">
        <v>25</v>
      </c>
      <c r="J1990" s="4" t="s">
        <v>25</v>
      </c>
      <c r="K1990" s="4" t="s">
        <v>25</v>
      </c>
      <c r="L1990" s="4" t="s">
        <v>25</v>
      </c>
      <c r="M1990" s="4" t="s">
        <v>25</v>
      </c>
    </row>
    <row r="1991" spans="1:16" x14ac:dyDescent="0.25">
      <c r="A1991" s="1" t="s">
        <v>14</v>
      </c>
      <c r="B1991" t="s">
        <v>50</v>
      </c>
      <c r="G1991" s="1" t="s">
        <v>226</v>
      </c>
      <c r="H1991" s="4" t="s">
        <v>25</v>
      </c>
      <c r="I1991" s="4" t="s">
        <v>25</v>
      </c>
      <c r="J1991" s="4" t="s">
        <v>25</v>
      </c>
      <c r="K1991" s="4" t="s">
        <v>25</v>
      </c>
      <c r="L1991" s="4" t="s">
        <v>25</v>
      </c>
      <c r="M1991" s="4" t="s">
        <v>25</v>
      </c>
    </row>
    <row r="1992" spans="1:16" x14ac:dyDescent="0.25">
      <c r="A1992" s="1" t="s">
        <v>16</v>
      </c>
      <c r="B1992" t="s">
        <v>17</v>
      </c>
    </row>
    <row r="1995" spans="1:16" x14ac:dyDescent="0.25">
      <c r="A1995" s="5" t="s">
        <v>26</v>
      </c>
      <c r="B1995" s="5" t="s">
        <v>27</v>
      </c>
      <c r="C1995" s="5" t="s">
        <v>28</v>
      </c>
      <c r="D1995" s="5" t="s">
        <v>29</v>
      </c>
      <c r="E1995" s="5" t="s">
        <v>30</v>
      </c>
      <c r="F1995" s="5" t="s">
        <v>31</v>
      </c>
      <c r="G1995" s="5" t="s">
        <v>32</v>
      </c>
      <c r="H1995" s="5" t="s">
        <v>33</v>
      </c>
      <c r="I1995" s="5" t="s">
        <v>34</v>
      </c>
      <c r="J1995" s="5" t="s">
        <v>35</v>
      </c>
      <c r="K1995" s="5" t="s">
        <v>36</v>
      </c>
      <c r="L1995" s="5" t="s">
        <v>37</v>
      </c>
      <c r="M1995" s="5" t="s">
        <v>38</v>
      </c>
      <c r="N1995" s="5" t="s">
        <v>39</v>
      </c>
      <c r="O1995" s="5" t="s">
        <v>40</v>
      </c>
      <c r="P1995" s="5" t="s">
        <v>41</v>
      </c>
    </row>
    <row r="1996" spans="1:16" x14ac:dyDescent="0.25">
      <c r="A1996" s="4"/>
      <c r="B1996" s="4"/>
      <c r="C1996" s="4"/>
      <c r="D1996" s="4"/>
      <c r="E1996" s="4"/>
      <c r="F1996" s="4"/>
      <c r="G1996" s="4"/>
      <c r="H1996" s="6">
        <v>8.0833333333333339</v>
      </c>
      <c r="I1996" s="6">
        <v>8.0833333333333339</v>
      </c>
      <c r="J1996" s="6">
        <v>4.6520833333333336</v>
      </c>
      <c r="K1996" s="3">
        <v>0</v>
      </c>
      <c r="L1996" s="3">
        <v>0</v>
      </c>
      <c r="M1996" s="3">
        <v>0</v>
      </c>
      <c r="N1996" s="3">
        <v>0</v>
      </c>
      <c r="O1996" s="3">
        <v>0</v>
      </c>
      <c r="P1996" s="3">
        <v>9.930555555555555E-2</v>
      </c>
    </row>
    <row r="1997" spans="1:16" x14ac:dyDescent="0.25">
      <c r="A1997" s="4" t="s">
        <v>227</v>
      </c>
      <c r="B1997" s="3">
        <v>0.2951388888888889</v>
      </c>
      <c r="C1997" s="3">
        <v>0.5444444444444444</v>
      </c>
      <c r="D1997" s="3">
        <v>0.58124999999999993</v>
      </c>
      <c r="E1997" s="3">
        <v>0.72986111111111107</v>
      </c>
      <c r="F1997" s="4"/>
      <c r="G1997" s="4"/>
      <c r="H1997" s="3">
        <v>0.375</v>
      </c>
      <c r="I1997" s="3">
        <v>0.375</v>
      </c>
      <c r="J1997" s="4"/>
      <c r="K1997" s="4"/>
      <c r="L1997" s="4"/>
      <c r="M1997" s="4"/>
      <c r="N1997" s="4"/>
      <c r="O1997" s="4"/>
      <c r="P1997" s="3">
        <v>2.6388888888888889E-2</v>
      </c>
    </row>
    <row r="1998" spans="1:16" x14ac:dyDescent="0.25">
      <c r="A1998" s="4" t="s">
        <v>228</v>
      </c>
      <c r="B1998" s="3">
        <v>0.30416666666666664</v>
      </c>
      <c r="C1998" s="3">
        <v>0.52152777777777781</v>
      </c>
      <c r="D1998" s="4" t="s">
        <v>52</v>
      </c>
      <c r="E1998" s="4" t="s">
        <v>52</v>
      </c>
      <c r="F1998" s="4"/>
      <c r="G1998" s="4"/>
      <c r="H1998" s="3">
        <v>0.375</v>
      </c>
      <c r="I1998" s="3">
        <v>0.375</v>
      </c>
      <c r="J1998" s="3">
        <v>0.15763888888888888</v>
      </c>
      <c r="K1998" s="4"/>
      <c r="L1998" s="4"/>
      <c r="M1998" s="4"/>
      <c r="N1998" s="4"/>
      <c r="O1998" s="4"/>
      <c r="P1998" s="4"/>
    </row>
    <row r="1999" spans="1:16" x14ac:dyDescent="0.25">
      <c r="A1999" s="4" t="s">
        <v>229</v>
      </c>
      <c r="B1999" s="3">
        <v>0.33680555555555558</v>
      </c>
      <c r="C1999" s="3">
        <v>0.51666666666666672</v>
      </c>
      <c r="D1999" s="3">
        <v>0.5625</v>
      </c>
      <c r="E1999" s="3">
        <v>0.75416666666666676</v>
      </c>
      <c r="F1999" s="4"/>
      <c r="G1999" s="4"/>
      <c r="H1999" s="3">
        <v>0.375</v>
      </c>
      <c r="I1999" s="3">
        <v>0.375</v>
      </c>
      <c r="J1999" s="4"/>
      <c r="K1999" s="4"/>
      <c r="L1999" s="4"/>
      <c r="M1999" s="4"/>
      <c r="N1999" s="4"/>
      <c r="O1999" s="4"/>
      <c r="P1999" s="4"/>
    </row>
    <row r="2000" spans="1:16" x14ac:dyDescent="0.25">
      <c r="A2000" s="4" t="s">
        <v>230</v>
      </c>
      <c r="B2000" s="3">
        <v>0.30694444444444441</v>
      </c>
      <c r="C2000" s="3">
        <v>0.52916666666666667</v>
      </c>
      <c r="D2000" s="3">
        <v>0.5708333333333333</v>
      </c>
      <c r="E2000" s="3">
        <v>0.7270833333333333</v>
      </c>
      <c r="F2000" s="4"/>
      <c r="G2000" s="4"/>
      <c r="H2000" s="3">
        <v>0.375</v>
      </c>
      <c r="I2000" s="3">
        <v>0.375</v>
      </c>
      <c r="J2000" s="4"/>
      <c r="K2000" s="4"/>
      <c r="L2000" s="4"/>
      <c r="M2000" s="4"/>
      <c r="N2000" s="4"/>
      <c r="O2000" s="4"/>
      <c r="P2000" s="4"/>
    </row>
    <row r="2001" spans="1:16" x14ac:dyDescent="0.25">
      <c r="A2001" s="4" t="s">
        <v>231</v>
      </c>
      <c r="B2001" s="3">
        <v>0.33680555555555558</v>
      </c>
      <c r="C2001" s="3">
        <v>0.49722222222222223</v>
      </c>
      <c r="D2001" s="3">
        <v>0.55069444444444449</v>
      </c>
      <c r="E2001" s="3">
        <v>0.73819444444444438</v>
      </c>
      <c r="F2001" s="4"/>
      <c r="G2001" s="4"/>
      <c r="H2001" s="3">
        <v>0.33333333333333331</v>
      </c>
      <c r="I2001" s="3">
        <v>0.33333333333333331</v>
      </c>
      <c r="J2001" s="4"/>
      <c r="K2001" s="4"/>
      <c r="L2001" s="4"/>
      <c r="M2001" s="4"/>
      <c r="N2001" s="4"/>
      <c r="O2001" s="4"/>
      <c r="P2001" s="3">
        <v>2.0833333333333332E-2</v>
      </c>
    </row>
    <row r="2002" spans="1:16" x14ac:dyDescent="0.25">
      <c r="A2002" s="4" t="s">
        <v>232</v>
      </c>
      <c r="B2002" s="4" t="s">
        <v>25</v>
      </c>
      <c r="C2002" s="4" t="s">
        <v>25</v>
      </c>
      <c r="D2002" s="4" t="s">
        <v>25</v>
      </c>
      <c r="E2002" s="4" t="s">
        <v>25</v>
      </c>
      <c r="F2002" s="4"/>
      <c r="G2002" s="4"/>
      <c r="H2002" s="4"/>
      <c r="I2002" s="4"/>
      <c r="J2002" s="4"/>
      <c r="K2002" s="4"/>
      <c r="L2002" s="4"/>
      <c r="M2002" s="4"/>
      <c r="N2002" s="4"/>
      <c r="O2002" s="4"/>
      <c r="P2002" s="4"/>
    </row>
    <row r="2003" spans="1:16" x14ac:dyDescent="0.25">
      <c r="A2003" s="4" t="s">
        <v>233</v>
      </c>
      <c r="B2003" s="4" t="s">
        <v>25</v>
      </c>
      <c r="C2003" s="4" t="s">
        <v>25</v>
      </c>
      <c r="D2003" s="4" t="s">
        <v>25</v>
      </c>
      <c r="E2003" s="4" t="s">
        <v>25</v>
      </c>
      <c r="F2003" s="4"/>
      <c r="G2003" s="4"/>
      <c r="H2003" s="4"/>
      <c r="I2003" s="4"/>
      <c r="J2003" s="4"/>
      <c r="K2003" s="4"/>
      <c r="L2003" s="4"/>
      <c r="M2003" s="4"/>
      <c r="N2003" s="4"/>
      <c r="O2003" s="4"/>
      <c r="P2003" s="4"/>
    </row>
    <row r="2004" spans="1:16" x14ac:dyDescent="0.25">
      <c r="A2004" s="4" t="s">
        <v>234</v>
      </c>
      <c r="B2004" s="4" t="s">
        <v>55</v>
      </c>
      <c r="C2004" s="4" t="s">
        <v>55</v>
      </c>
      <c r="D2004" s="4" t="s">
        <v>55</v>
      </c>
      <c r="E2004" s="4" t="s">
        <v>55</v>
      </c>
      <c r="F2004" s="4"/>
      <c r="G2004" s="4"/>
      <c r="H2004" s="3">
        <v>0.375</v>
      </c>
      <c r="I2004" s="3">
        <v>0.375</v>
      </c>
      <c r="J2004" s="3">
        <v>0.375</v>
      </c>
      <c r="K2004" s="4"/>
      <c r="L2004" s="4"/>
      <c r="M2004" s="4"/>
      <c r="N2004" s="4"/>
      <c r="O2004" s="4"/>
      <c r="P2004" s="4"/>
    </row>
    <row r="2005" spans="1:16" x14ac:dyDescent="0.25">
      <c r="A2005" s="4" t="s">
        <v>235</v>
      </c>
      <c r="B2005" s="4" t="s">
        <v>55</v>
      </c>
      <c r="C2005" s="4" t="s">
        <v>55</v>
      </c>
      <c r="D2005" s="4" t="s">
        <v>55</v>
      </c>
      <c r="E2005" s="4" t="s">
        <v>55</v>
      </c>
      <c r="F2005" s="4"/>
      <c r="G2005" s="4"/>
      <c r="H2005" s="3">
        <v>0.375</v>
      </c>
      <c r="I2005" s="3">
        <v>0.375</v>
      </c>
      <c r="J2005" s="3">
        <v>0.375</v>
      </c>
      <c r="K2005" s="4"/>
      <c r="L2005" s="4"/>
      <c r="M2005" s="4"/>
      <c r="N2005" s="4"/>
      <c r="O2005" s="4"/>
      <c r="P2005" s="4"/>
    </row>
    <row r="2006" spans="1:16" x14ac:dyDescent="0.25">
      <c r="A2006" s="4" t="s">
        <v>236</v>
      </c>
      <c r="B2006" s="4" t="s">
        <v>55</v>
      </c>
      <c r="C2006" s="4" t="s">
        <v>55</v>
      </c>
      <c r="D2006" s="4" t="s">
        <v>55</v>
      </c>
      <c r="E2006" s="4" t="s">
        <v>55</v>
      </c>
      <c r="F2006" s="4"/>
      <c r="G2006" s="4"/>
      <c r="H2006" s="3">
        <v>0.375</v>
      </c>
      <c r="I2006" s="3">
        <v>0.375</v>
      </c>
      <c r="J2006" s="3">
        <v>0.375</v>
      </c>
      <c r="K2006" s="4"/>
      <c r="L2006" s="4"/>
      <c r="M2006" s="4"/>
      <c r="N2006" s="4"/>
      <c r="O2006" s="4"/>
      <c r="P2006" s="4"/>
    </row>
    <row r="2007" spans="1:16" x14ac:dyDescent="0.25">
      <c r="A2007" s="4" t="s">
        <v>237</v>
      </c>
      <c r="B2007" s="4" t="s">
        <v>55</v>
      </c>
      <c r="C2007" s="4" t="s">
        <v>55</v>
      </c>
      <c r="D2007" s="4" t="s">
        <v>55</v>
      </c>
      <c r="E2007" s="4" t="s">
        <v>55</v>
      </c>
      <c r="F2007" s="4"/>
      <c r="G2007" s="4"/>
      <c r="H2007" s="3">
        <v>0.375</v>
      </c>
      <c r="I2007" s="3">
        <v>0.375</v>
      </c>
      <c r="J2007" s="3">
        <v>0.375</v>
      </c>
      <c r="K2007" s="4"/>
      <c r="L2007" s="4"/>
      <c r="M2007" s="4"/>
      <c r="N2007" s="4"/>
      <c r="O2007" s="4"/>
      <c r="P2007" s="4"/>
    </row>
    <row r="2008" spans="1:16" x14ac:dyDescent="0.25">
      <c r="A2008" s="4" t="s">
        <v>238</v>
      </c>
      <c r="B2008" s="4" t="s">
        <v>55</v>
      </c>
      <c r="C2008" s="4" t="s">
        <v>55</v>
      </c>
      <c r="D2008" s="4" t="s">
        <v>55</v>
      </c>
      <c r="E2008" s="4" t="s">
        <v>55</v>
      </c>
      <c r="F2008" s="4"/>
      <c r="G2008" s="4"/>
      <c r="H2008" s="3">
        <v>0.33333333333333331</v>
      </c>
      <c r="I2008" s="3">
        <v>0.33333333333333331</v>
      </c>
      <c r="J2008" s="3">
        <v>0.33333333333333331</v>
      </c>
      <c r="K2008" s="4"/>
      <c r="L2008" s="4"/>
      <c r="M2008" s="4"/>
      <c r="N2008" s="4"/>
      <c r="O2008" s="4"/>
      <c r="P2008" s="4"/>
    </row>
    <row r="2009" spans="1:16" x14ac:dyDescent="0.25">
      <c r="A2009" s="4" t="s">
        <v>239</v>
      </c>
      <c r="B2009" s="4" t="s">
        <v>55</v>
      </c>
      <c r="C2009" s="4" t="s">
        <v>55</v>
      </c>
      <c r="D2009" s="4" t="s">
        <v>55</v>
      </c>
      <c r="E2009" s="4" t="s">
        <v>55</v>
      </c>
      <c r="F2009" s="4"/>
      <c r="G2009" s="4"/>
      <c r="H2009" s="4"/>
      <c r="I2009" s="4"/>
      <c r="J2009" s="4"/>
      <c r="K2009" s="4"/>
      <c r="L2009" s="4"/>
      <c r="M2009" s="4"/>
      <c r="N2009" s="4"/>
      <c r="O2009" s="4"/>
      <c r="P2009" s="4"/>
    </row>
    <row r="2010" spans="1:16" x14ac:dyDescent="0.25">
      <c r="A2010" s="4" t="s">
        <v>240</v>
      </c>
      <c r="B2010" s="4" t="s">
        <v>55</v>
      </c>
      <c r="C2010" s="4" t="s">
        <v>55</v>
      </c>
      <c r="D2010" s="4" t="s">
        <v>55</v>
      </c>
      <c r="E2010" s="4" t="s">
        <v>55</v>
      </c>
      <c r="F2010" s="4"/>
      <c r="G2010" s="4"/>
      <c r="H2010" s="4"/>
      <c r="I2010" s="4"/>
      <c r="J2010" s="4"/>
      <c r="K2010" s="4"/>
      <c r="L2010" s="4"/>
      <c r="M2010" s="4"/>
      <c r="N2010" s="4"/>
      <c r="O2010" s="4"/>
      <c r="P2010" s="4"/>
    </row>
    <row r="2011" spans="1:16" x14ac:dyDescent="0.25">
      <c r="A2011" s="4" t="s">
        <v>241</v>
      </c>
      <c r="B2011" s="4" t="s">
        <v>55</v>
      </c>
      <c r="C2011" s="4" t="s">
        <v>55</v>
      </c>
      <c r="D2011" s="4" t="s">
        <v>55</v>
      </c>
      <c r="E2011" s="4" t="s">
        <v>55</v>
      </c>
      <c r="F2011" s="4"/>
      <c r="G2011" s="4"/>
      <c r="H2011" s="3">
        <v>0.375</v>
      </c>
      <c r="I2011" s="3">
        <v>0.375</v>
      </c>
      <c r="J2011" s="3">
        <v>0.375</v>
      </c>
      <c r="K2011" s="4"/>
      <c r="L2011" s="4"/>
      <c r="M2011" s="4"/>
      <c r="N2011" s="4"/>
      <c r="O2011" s="4"/>
      <c r="P2011" s="4"/>
    </row>
    <row r="2012" spans="1:16" x14ac:dyDescent="0.25">
      <c r="A2012" s="4" t="s">
        <v>242</v>
      </c>
      <c r="B2012" s="4" t="s">
        <v>55</v>
      </c>
      <c r="C2012" s="4" t="s">
        <v>55</v>
      </c>
      <c r="D2012" s="4" t="s">
        <v>55</v>
      </c>
      <c r="E2012" s="4" t="s">
        <v>55</v>
      </c>
      <c r="F2012" s="4"/>
      <c r="G2012" s="4"/>
      <c r="H2012" s="3">
        <v>0.375</v>
      </c>
      <c r="I2012" s="3">
        <v>0.375</v>
      </c>
      <c r="J2012" s="3">
        <v>0.375</v>
      </c>
      <c r="K2012" s="4"/>
      <c r="L2012" s="4"/>
      <c r="M2012" s="4"/>
      <c r="N2012" s="4"/>
      <c r="O2012" s="4"/>
      <c r="P2012" s="4"/>
    </row>
    <row r="2013" spans="1:16" x14ac:dyDescent="0.25">
      <c r="A2013" s="4" t="s">
        <v>243</v>
      </c>
      <c r="B2013" s="4" t="s">
        <v>55</v>
      </c>
      <c r="C2013" s="4" t="s">
        <v>55</v>
      </c>
      <c r="D2013" s="4" t="s">
        <v>55</v>
      </c>
      <c r="E2013" s="4" t="s">
        <v>55</v>
      </c>
      <c r="F2013" s="4"/>
      <c r="G2013" s="4"/>
      <c r="H2013" s="3">
        <v>0.375</v>
      </c>
      <c r="I2013" s="3">
        <v>0.375</v>
      </c>
      <c r="J2013" s="3">
        <v>0.375</v>
      </c>
      <c r="K2013" s="4"/>
      <c r="L2013" s="4"/>
      <c r="M2013" s="4"/>
      <c r="N2013" s="4"/>
      <c r="O2013" s="4"/>
      <c r="P2013" s="4"/>
    </row>
    <row r="2014" spans="1:16" x14ac:dyDescent="0.25">
      <c r="A2014" s="4" t="s">
        <v>244</v>
      </c>
      <c r="B2014" s="4" t="s">
        <v>55</v>
      </c>
      <c r="C2014" s="4" t="s">
        <v>55</v>
      </c>
      <c r="D2014" s="4" t="s">
        <v>55</v>
      </c>
      <c r="E2014" s="4" t="s">
        <v>55</v>
      </c>
      <c r="F2014" s="4"/>
      <c r="G2014" s="4"/>
      <c r="H2014" s="4"/>
      <c r="I2014" s="4"/>
      <c r="J2014" s="4"/>
      <c r="K2014" s="4"/>
      <c r="L2014" s="4"/>
      <c r="M2014" s="4"/>
      <c r="N2014" s="4"/>
      <c r="O2014" s="4"/>
      <c r="P2014" s="4"/>
    </row>
    <row r="2015" spans="1:16" x14ac:dyDescent="0.25">
      <c r="A2015" s="4" t="s">
        <v>245</v>
      </c>
      <c r="B2015" s="4" t="s">
        <v>55</v>
      </c>
      <c r="C2015" s="4" t="s">
        <v>55</v>
      </c>
      <c r="D2015" s="4" t="s">
        <v>55</v>
      </c>
      <c r="E2015" s="4" t="s">
        <v>55</v>
      </c>
      <c r="F2015" s="4"/>
      <c r="G2015" s="4"/>
      <c r="H2015" s="3">
        <v>0.33333333333333331</v>
      </c>
      <c r="I2015" s="3">
        <v>0.33333333333333331</v>
      </c>
      <c r="J2015" s="3">
        <v>0.33333333333333331</v>
      </c>
      <c r="K2015" s="4"/>
      <c r="L2015" s="4"/>
      <c r="M2015" s="4"/>
      <c r="N2015" s="4"/>
      <c r="O2015" s="4"/>
      <c r="P2015" s="4"/>
    </row>
    <row r="2016" spans="1:16" x14ac:dyDescent="0.25">
      <c r="A2016" s="4" t="s">
        <v>246</v>
      </c>
      <c r="B2016" s="4" t="s">
        <v>55</v>
      </c>
      <c r="C2016" s="4" t="s">
        <v>55</v>
      </c>
      <c r="D2016" s="4" t="s">
        <v>55</v>
      </c>
      <c r="E2016" s="4" t="s">
        <v>55</v>
      </c>
      <c r="F2016" s="4"/>
      <c r="G2016" s="4"/>
      <c r="H2016" s="4"/>
      <c r="I2016" s="4"/>
      <c r="J2016" s="4"/>
      <c r="K2016" s="4"/>
      <c r="L2016" s="4"/>
      <c r="M2016" s="4"/>
      <c r="N2016" s="4"/>
      <c r="O2016" s="4"/>
      <c r="P2016" s="4"/>
    </row>
    <row r="2017" spans="1:16" x14ac:dyDescent="0.25">
      <c r="A2017" s="4" t="s">
        <v>247</v>
      </c>
      <c r="B2017" s="4" t="s">
        <v>55</v>
      </c>
      <c r="C2017" s="4" t="s">
        <v>55</v>
      </c>
      <c r="D2017" s="4" t="s">
        <v>55</v>
      </c>
      <c r="E2017" s="4" t="s">
        <v>55</v>
      </c>
      <c r="F2017" s="4"/>
      <c r="G2017" s="4"/>
      <c r="H2017" s="4"/>
      <c r="I2017" s="4"/>
      <c r="J2017" s="4"/>
      <c r="K2017" s="4"/>
      <c r="L2017" s="4"/>
      <c r="M2017" s="4"/>
      <c r="N2017" s="4"/>
      <c r="O2017" s="4"/>
      <c r="P2017" s="4"/>
    </row>
    <row r="2018" spans="1:16" x14ac:dyDescent="0.25">
      <c r="A2018" s="4" t="s">
        <v>248</v>
      </c>
      <c r="B2018" s="3">
        <v>0.33611111111111108</v>
      </c>
      <c r="C2018" s="3">
        <v>0.51388888888888895</v>
      </c>
      <c r="D2018" s="3">
        <v>0.55625000000000002</v>
      </c>
      <c r="E2018" s="3">
        <v>0.7583333333333333</v>
      </c>
      <c r="F2018" s="4"/>
      <c r="G2018" s="4"/>
      <c r="H2018" s="3">
        <v>0.375</v>
      </c>
      <c r="I2018" s="3">
        <v>0.375</v>
      </c>
      <c r="J2018" s="4"/>
      <c r="K2018" s="4"/>
      <c r="L2018" s="4"/>
      <c r="M2018" s="4"/>
      <c r="N2018" s="4"/>
      <c r="O2018" s="4"/>
      <c r="P2018" s="4"/>
    </row>
    <row r="2019" spans="1:16" x14ac:dyDescent="0.25">
      <c r="A2019" s="4" t="s">
        <v>249</v>
      </c>
      <c r="B2019" s="3">
        <v>0.34652777777777777</v>
      </c>
      <c r="C2019" s="3">
        <v>0.56944444444444442</v>
      </c>
      <c r="D2019" s="4" t="s">
        <v>52</v>
      </c>
      <c r="E2019" s="4" t="s">
        <v>52</v>
      </c>
      <c r="F2019" s="4"/>
      <c r="G2019" s="4"/>
      <c r="H2019" s="3">
        <v>0.375</v>
      </c>
      <c r="I2019" s="3">
        <v>0.375</v>
      </c>
      <c r="J2019" s="3">
        <v>0.16666666666666666</v>
      </c>
      <c r="K2019" s="4"/>
      <c r="L2019" s="4"/>
      <c r="M2019" s="4"/>
      <c r="N2019" s="4"/>
      <c r="O2019" s="4"/>
      <c r="P2019" s="3">
        <v>1.4583333333333332E-2</v>
      </c>
    </row>
    <row r="2020" spans="1:16" x14ac:dyDescent="0.25">
      <c r="A2020" s="4" t="s">
        <v>251</v>
      </c>
      <c r="B2020" s="4" t="s">
        <v>52</v>
      </c>
      <c r="C2020" s="4" t="s">
        <v>52</v>
      </c>
      <c r="D2020" s="4" t="s">
        <v>52</v>
      </c>
      <c r="E2020" s="4" t="s">
        <v>52</v>
      </c>
      <c r="F2020" s="4"/>
      <c r="G2020" s="4"/>
      <c r="H2020" s="3">
        <v>0.375</v>
      </c>
      <c r="I2020" s="3">
        <v>0.375</v>
      </c>
      <c r="J2020" s="3">
        <v>0.375</v>
      </c>
      <c r="K2020" s="4"/>
      <c r="L2020" s="4"/>
      <c r="M2020" s="4"/>
      <c r="N2020" s="4"/>
      <c r="O2020" s="4"/>
      <c r="P2020" s="4"/>
    </row>
    <row r="2021" spans="1:16" x14ac:dyDescent="0.25">
      <c r="A2021" s="4" t="s">
        <v>256</v>
      </c>
      <c r="B2021" s="4" t="s">
        <v>52</v>
      </c>
      <c r="C2021" s="4" t="s">
        <v>52</v>
      </c>
      <c r="D2021" s="4" t="s">
        <v>52</v>
      </c>
      <c r="E2021" s="4" t="s">
        <v>52</v>
      </c>
      <c r="F2021" s="4"/>
      <c r="G2021" s="4"/>
      <c r="H2021" s="3">
        <v>0.375</v>
      </c>
      <c r="I2021" s="3">
        <v>0.375</v>
      </c>
      <c r="J2021" s="3">
        <v>0.375</v>
      </c>
      <c r="K2021" s="4"/>
      <c r="L2021" s="4"/>
      <c r="M2021" s="4"/>
      <c r="N2021" s="4"/>
      <c r="O2021" s="4"/>
      <c r="P2021" s="4"/>
    </row>
    <row r="2022" spans="1:16" x14ac:dyDescent="0.25">
      <c r="A2022" s="4" t="s">
        <v>259</v>
      </c>
      <c r="B2022" s="3">
        <v>0.56388888888888888</v>
      </c>
      <c r="C2022" s="3">
        <v>0.61111111111111105</v>
      </c>
      <c r="D2022" s="4" t="s">
        <v>52</v>
      </c>
      <c r="E2022" s="4" t="s">
        <v>52</v>
      </c>
      <c r="F2022" s="4"/>
      <c r="G2022" s="4"/>
      <c r="H2022" s="3">
        <v>0.33333333333333331</v>
      </c>
      <c r="I2022" s="3">
        <v>0.33333333333333331</v>
      </c>
      <c r="J2022" s="3">
        <v>0.28611111111111115</v>
      </c>
      <c r="K2022" s="4"/>
      <c r="L2022" s="4"/>
      <c r="M2022" s="4"/>
      <c r="N2022" s="4"/>
      <c r="O2022" s="4"/>
      <c r="P2022" s="4"/>
    </row>
    <row r="2023" spans="1:16" x14ac:dyDescent="0.25">
      <c r="A2023" s="4" t="s">
        <v>260</v>
      </c>
      <c r="B2023" s="4" t="s">
        <v>25</v>
      </c>
      <c r="C2023" s="4" t="s">
        <v>25</v>
      </c>
      <c r="D2023" s="4" t="s">
        <v>25</v>
      </c>
      <c r="E2023" s="4" t="s">
        <v>25</v>
      </c>
      <c r="F2023" s="4"/>
      <c r="G2023" s="4"/>
      <c r="H2023" s="4"/>
      <c r="I2023" s="4"/>
      <c r="J2023" s="4"/>
      <c r="K2023" s="4"/>
      <c r="L2023" s="4"/>
      <c r="M2023" s="4"/>
      <c r="N2023" s="4"/>
      <c r="O2023" s="4"/>
      <c r="P2023" s="4"/>
    </row>
    <row r="2024" spans="1:16" x14ac:dyDescent="0.25">
      <c r="A2024" s="4" t="s">
        <v>261</v>
      </c>
      <c r="B2024" s="4" t="s">
        <v>25</v>
      </c>
      <c r="C2024" s="4" t="s">
        <v>25</v>
      </c>
      <c r="D2024" s="4" t="s">
        <v>25</v>
      </c>
      <c r="E2024" s="4" t="s">
        <v>25</v>
      </c>
      <c r="F2024" s="4"/>
      <c r="G2024" s="4"/>
      <c r="H2024" s="4"/>
      <c r="I2024" s="4"/>
      <c r="J2024" s="4"/>
      <c r="K2024" s="4"/>
      <c r="L2024" s="4"/>
      <c r="M2024" s="4"/>
      <c r="N2024" s="4"/>
      <c r="O2024" s="4"/>
      <c r="P2024" s="4"/>
    </row>
    <row r="2025" spans="1:16" x14ac:dyDescent="0.25">
      <c r="A2025" s="4" t="s">
        <v>262</v>
      </c>
      <c r="B2025" s="3">
        <v>0.35833333333333334</v>
      </c>
      <c r="C2025" s="3">
        <v>0.54861111111111105</v>
      </c>
      <c r="D2025" s="3">
        <v>0.5854166666666667</v>
      </c>
      <c r="E2025" s="3">
        <v>0.7715277777777777</v>
      </c>
      <c r="F2025" s="4"/>
      <c r="G2025" s="4"/>
      <c r="H2025" s="3">
        <v>0.375</v>
      </c>
      <c r="I2025" s="3">
        <v>0.375</v>
      </c>
      <c r="J2025" s="4"/>
      <c r="K2025" s="4"/>
      <c r="L2025" s="4"/>
      <c r="M2025" s="4"/>
      <c r="N2025" s="4"/>
      <c r="O2025" s="4"/>
      <c r="P2025" s="4"/>
    </row>
    <row r="2026" spans="1:16" x14ac:dyDescent="0.25">
      <c r="A2026" s="4" t="s">
        <v>263</v>
      </c>
      <c r="B2026" s="3">
        <v>0.33263888888888887</v>
      </c>
      <c r="C2026" s="3">
        <v>0.51041666666666663</v>
      </c>
      <c r="D2026" s="3">
        <v>0.54999999999999993</v>
      </c>
      <c r="E2026" s="3">
        <v>0.76874999999999993</v>
      </c>
      <c r="F2026" s="4"/>
      <c r="G2026" s="4"/>
      <c r="H2026" s="3">
        <v>0.375</v>
      </c>
      <c r="I2026" s="3">
        <v>0.375</v>
      </c>
      <c r="J2026" s="4"/>
      <c r="K2026" s="4"/>
      <c r="L2026" s="4"/>
      <c r="M2026" s="4"/>
      <c r="N2026" s="4"/>
      <c r="O2026" s="4"/>
      <c r="P2026" s="3">
        <v>2.1527777777777781E-2</v>
      </c>
    </row>
    <row r="2027" spans="1:16" x14ac:dyDescent="0.25">
      <c r="A2027" s="4" t="s">
        <v>264</v>
      </c>
      <c r="B2027" s="3">
        <v>0.33958333333333335</v>
      </c>
      <c r="C2027" s="3">
        <v>0.5625</v>
      </c>
      <c r="D2027" s="3">
        <v>0.61805555555555558</v>
      </c>
      <c r="E2027" s="3">
        <v>0.78611111111111109</v>
      </c>
      <c r="F2027" s="4"/>
      <c r="G2027" s="4"/>
      <c r="H2027" s="3">
        <v>0.375</v>
      </c>
      <c r="I2027" s="3">
        <v>0.375</v>
      </c>
      <c r="J2027" s="4"/>
      <c r="K2027" s="4"/>
      <c r="L2027" s="4"/>
      <c r="M2027" s="4"/>
      <c r="N2027" s="4"/>
      <c r="O2027" s="4"/>
      <c r="P2027" s="3">
        <v>1.5972222222222224E-2</v>
      </c>
    </row>
    <row r="2029" spans="1:16" x14ac:dyDescent="0.25">
      <c r="A2029" s="7" t="s">
        <v>45</v>
      </c>
    </row>
    <row r="2032" spans="1:16" x14ac:dyDescent="0.25">
      <c r="A2032" s="7" t="s">
        <v>46</v>
      </c>
    </row>
    <row r="2033" spans="1:13" x14ac:dyDescent="0.25">
      <c r="A2033" s="7" t="s">
        <v>114</v>
      </c>
      <c r="F2033" s="7" t="s">
        <v>47</v>
      </c>
    </row>
    <row r="2034" spans="1:13" x14ac:dyDescent="0.25">
      <c r="F2034" s="7"/>
    </row>
    <row r="2038" spans="1:13" x14ac:dyDescent="0.25">
      <c r="G2038" s="1" t="s">
        <v>18</v>
      </c>
    </row>
    <row r="2039" spans="1:13" x14ac:dyDescent="0.25">
      <c r="A2039" s="1" t="s">
        <v>1</v>
      </c>
      <c r="B2039" t="s">
        <v>2</v>
      </c>
      <c r="H2039" s="1" t="s">
        <v>19</v>
      </c>
      <c r="I2039" s="1" t="s">
        <v>20</v>
      </c>
      <c r="J2039" s="1" t="s">
        <v>21</v>
      </c>
      <c r="K2039" s="1" t="s">
        <v>22</v>
      </c>
      <c r="L2039" s="1" t="s">
        <v>23</v>
      </c>
      <c r="M2039" s="1" t="s">
        <v>24</v>
      </c>
    </row>
    <row r="2040" spans="1:13" x14ac:dyDescent="0.25">
      <c r="A2040" s="1" t="s">
        <v>3</v>
      </c>
      <c r="B2040" t="s">
        <v>4</v>
      </c>
      <c r="G2040" s="1" t="s">
        <v>220</v>
      </c>
      <c r="H2040" s="4" t="s">
        <v>25</v>
      </c>
      <c r="I2040" s="4" t="s">
        <v>25</v>
      </c>
      <c r="J2040" s="4" t="s">
        <v>25</v>
      </c>
      <c r="K2040" s="4" t="s">
        <v>25</v>
      </c>
      <c r="L2040" s="4" t="s">
        <v>25</v>
      </c>
      <c r="M2040" s="4" t="s">
        <v>25</v>
      </c>
    </row>
    <row r="2041" spans="1:13" x14ac:dyDescent="0.25">
      <c r="A2041" s="1" t="s">
        <v>5</v>
      </c>
      <c r="B2041" t="s">
        <v>6</v>
      </c>
      <c r="G2041" s="1" t="s">
        <v>221</v>
      </c>
      <c r="H2041" s="3">
        <v>0.5</v>
      </c>
      <c r="I2041" s="3">
        <v>0.70833333333333337</v>
      </c>
      <c r="J2041" s="3">
        <v>0.75</v>
      </c>
      <c r="K2041" s="3">
        <v>0.91666666666666663</v>
      </c>
      <c r="L2041" s="4"/>
      <c r="M2041" s="4"/>
    </row>
    <row r="2042" spans="1:13" x14ac:dyDescent="0.25">
      <c r="G2042" s="1" t="s">
        <v>222</v>
      </c>
      <c r="H2042" s="3">
        <v>0.5</v>
      </c>
      <c r="I2042" s="3">
        <v>0.70833333333333337</v>
      </c>
      <c r="J2042" s="3">
        <v>0.75</v>
      </c>
      <c r="K2042" s="3">
        <v>0.91666666666666663</v>
      </c>
      <c r="L2042" s="4"/>
      <c r="M2042" s="4"/>
    </row>
    <row r="2043" spans="1:13" x14ac:dyDescent="0.25">
      <c r="A2043" s="1" t="s">
        <v>7</v>
      </c>
      <c r="B2043" t="s">
        <v>116</v>
      </c>
      <c r="G2043" s="1" t="s">
        <v>223</v>
      </c>
      <c r="H2043" s="3">
        <v>0.5</v>
      </c>
      <c r="I2043" s="3">
        <v>0.70833333333333337</v>
      </c>
      <c r="J2043" s="3">
        <v>0.75</v>
      </c>
      <c r="K2043" s="3">
        <v>0.91666666666666663</v>
      </c>
      <c r="L2043" s="4"/>
      <c r="M2043" s="4"/>
    </row>
    <row r="2044" spans="1:13" x14ac:dyDescent="0.25">
      <c r="A2044" s="1" t="s">
        <v>9</v>
      </c>
      <c r="B2044" t="s">
        <v>117</v>
      </c>
      <c r="D2044" s="1" t="s">
        <v>11</v>
      </c>
      <c r="E2044" t="s">
        <v>117</v>
      </c>
      <c r="G2044" s="1" t="s">
        <v>224</v>
      </c>
      <c r="H2044" s="3">
        <v>0.5</v>
      </c>
      <c r="I2044" s="3">
        <v>0.70833333333333337</v>
      </c>
      <c r="J2044" s="3">
        <v>0.75</v>
      </c>
      <c r="K2044" s="3">
        <v>0.91666666666666663</v>
      </c>
      <c r="L2044" s="4"/>
      <c r="M2044" s="4"/>
    </row>
    <row r="2045" spans="1:13" x14ac:dyDescent="0.25">
      <c r="A2045" s="1" t="s">
        <v>12</v>
      </c>
      <c r="D2045" s="1" t="s">
        <v>13</v>
      </c>
      <c r="E2045" s="2">
        <v>42891</v>
      </c>
      <c r="G2045" s="1" t="s">
        <v>225</v>
      </c>
      <c r="H2045" s="3">
        <v>0.5</v>
      </c>
      <c r="I2045" s="3">
        <v>0.70833333333333337</v>
      </c>
      <c r="J2045" s="3">
        <v>0.75</v>
      </c>
      <c r="K2045" s="3">
        <v>0.875</v>
      </c>
      <c r="L2045" s="4"/>
      <c r="M2045" s="4"/>
    </row>
    <row r="2046" spans="1:13" x14ac:dyDescent="0.25">
      <c r="A2046" s="1" t="s">
        <v>14</v>
      </c>
      <c r="B2046" t="s">
        <v>58</v>
      </c>
      <c r="G2046" s="1" t="s">
        <v>226</v>
      </c>
      <c r="H2046" s="4" t="s">
        <v>25</v>
      </c>
      <c r="I2046" s="4" t="s">
        <v>25</v>
      </c>
      <c r="J2046" s="4" t="s">
        <v>25</v>
      </c>
      <c r="K2046" s="4" t="s">
        <v>25</v>
      </c>
      <c r="L2046" s="4" t="s">
        <v>25</v>
      </c>
      <c r="M2046" s="4" t="s">
        <v>25</v>
      </c>
    </row>
    <row r="2047" spans="1:13" x14ac:dyDescent="0.25">
      <c r="A2047" s="1" t="s">
        <v>16</v>
      </c>
      <c r="B2047" t="s">
        <v>17</v>
      </c>
    </row>
    <row r="2050" spans="1:16" x14ac:dyDescent="0.25">
      <c r="A2050" s="5" t="s">
        <v>26</v>
      </c>
      <c r="B2050" s="5" t="s">
        <v>27</v>
      </c>
      <c r="C2050" s="5" t="s">
        <v>28</v>
      </c>
      <c r="D2050" s="5" t="s">
        <v>29</v>
      </c>
      <c r="E2050" s="5" t="s">
        <v>30</v>
      </c>
      <c r="F2050" s="5" t="s">
        <v>31</v>
      </c>
      <c r="G2050" s="5" t="s">
        <v>32</v>
      </c>
      <c r="H2050" s="5" t="s">
        <v>33</v>
      </c>
      <c r="I2050" s="5" t="s">
        <v>34</v>
      </c>
      <c r="J2050" s="5" t="s">
        <v>35</v>
      </c>
      <c r="K2050" s="5" t="s">
        <v>36</v>
      </c>
      <c r="L2050" s="5" t="s">
        <v>37</v>
      </c>
      <c r="M2050" s="5" t="s">
        <v>38</v>
      </c>
      <c r="N2050" s="5" t="s">
        <v>39</v>
      </c>
      <c r="O2050" s="5" t="s">
        <v>40</v>
      </c>
      <c r="P2050" s="5" t="s">
        <v>41</v>
      </c>
    </row>
    <row r="2051" spans="1:16" x14ac:dyDescent="0.25">
      <c r="A2051" s="4"/>
      <c r="B2051" s="4"/>
      <c r="C2051" s="4"/>
      <c r="D2051" s="4"/>
      <c r="E2051" s="4"/>
      <c r="F2051" s="4"/>
      <c r="G2051" s="4"/>
      <c r="H2051" s="6">
        <v>7.708333333333333</v>
      </c>
      <c r="I2051" s="6">
        <v>7.708333333333333</v>
      </c>
      <c r="J2051" s="6">
        <v>1.4215277777777777</v>
      </c>
      <c r="K2051" s="3">
        <v>0</v>
      </c>
      <c r="L2051" s="6">
        <v>1.2222222222222221</v>
      </c>
      <c r="M2051" s="3">
        <v>0</v>
      </c>
      <c r="N2051" s="3">
        <v>4.1666666666666666E-3</v>
      </c>
      <c r="O2051" s="3">
        <v>0</v>
      </c>
      <c r="P2051" s="3">
        <v>8.3333333333333332E-3</v>
      </c>
    </row>
    <row r="2052" spans="1:16" x14ac:dyDescent="0.25">
      <c r="A2052" s="4" t="s">
        <v>227</v>
      </c>
      <c r="B2052" s="4" t="s">
        <v>25</v>
      </c>
      <c r="C2052" s="4" t="s">
        <v>25</v>
      </c>
      <c r="D2052" s="4" t="s">
        <v>25</v>
      </c>
      <c r="E2052" s="4" t="s">
        <v>25</v>
      </c>
      <c r="F2052" s="4" t="s">
        <v>25</v>
      </c>
      <c r="G2052" s="4" t="s">
        <v>25</v>
      </c>
      <c r="H2052" s="4"/>
      <c r="I2052" s="4"/>
      <c r="J2052" s="4"/>
      <c r="K2052" s="4"/>
      <c r="L2052" s="4"/>
      <c r="M2052" s="4"/>
      <c r="N2052" s="4"/>
      <c r="O2052" s="4"/>
      <c r="P2052" s="4"/>
    </row>
    <row r="2053" spans="1:16" x14ac:dyDescent="0.25">
      <c r="A2053" s="4" t="s">
        <v>228</v>
      </c>
      <c r="B2053" s="3">
        <v>0.49374999999999997</v>
      </c>
      <c r="C2053" s="3">
        <v>0.82916666666666661</v>
      </c>
      <c r="D2053" s="3">
        <v>0.87152777777777779</v>
      </c>
      <c r="E2053" s="3">
        <v>0.91666666666666663</v>
      </c>
      <c r="F2053" s="4"/>
      <c r="G2053" s="4"/>
      <c r="H2053" s="3">
        <v>0.375</v>
      </c>
      <c r="I2053" s="3">
        <v>0.375</v>
      </c>
      <c r="J2053" s="4"/>
      <c r="K2053" s="4"/>
      <c r="L2053" s="4"/>
      <c r="M2053" s="4"/>
      <c r="N2053" s="4"/>
      <c r="O2053" s="4"/>
      <c r="P2053" s="4"/>
    </row>
    <row r="2054" spans="1:16" x14ac:dyDescent="0.25">
      <c r="A2054" s="4" t="s">
        <v>229</v>
      </c>
      <c r="B2054" s="3">
        <v>0.49652777777777773</v>
      </c>
      <c r="C2054" s="3">
        <v>0.55763888888888891</v>
      </c>
      <c r="D2054" s="3">
        <v>0.59930555555555554</v>
      </c>
      <c r="E2054" s="3">
        <v>0.91666666666666663</v>
      </c>
      <c r="F2054" s="4"/>
      <c r="G2054" s="4"/>
      <c r="H2054" s="3">
        <v>0.375</v>
      </c>
      <c r="I2054" s="3">
        <v>0.375</v>
      </c>
      <c r="J2054" s="4"/>
      <c r="K2054" s="4"/>
      <c r="L2054" s="4"/>
      <c r="M2054" s="4"/>
      <c r="N2054" s="4"/>
      <c r="O2054" s="4"/>
      <c r="P2054" s="4"/>
    </row>
    <row r="2055" spans="1:16" x14ac:dyDescent="0.25">
      <c r="A2055" s="4" t="s">
        <v>230</v>
      </c>
      <c r="B2055" s="3">
        <v>0.49305555555555558</v>
      </c>
      <c r="C2055" s="3">
        <v>0.56527777777777777</v>
      </c>
      <c r="D2055" s="3">
        <v>0.61249999999999993</v>
      </c>
      <c r="E2055" s="3">
        <v>0.92083333333333339</v>
      </c>
      <c r="F2055" s="4"/>
      <c r="G2055" s="4"/>
      <c r="H2055" s="3">
        <v>0.375</v>
      </c>
      <c r="I2055" s="3">
        <v>0.375</v>
      </c>
      <c r="J2055" s="4"/>
      <c r="K2055" s="4"/>
      <c r="L2055" s="4"/>
      <c r="M2055" s="4"/>
      <c r="N2055" s="3">
        <v>4.1666666666666666E-3</v>
      </c>
      <c r="O2055" s="4"/>
      <c r="P2055" s="4"/>
    </row>
    <row r="2056" spans="1:16" x14ac:dyDescent="0.25">
      <c r="A2056" s="4" t="s">
        <v>231</v>
      </c>
      <c r="B2056" s="3">
        <v>0.49513888888888885</v>
      </c>
      <c r="C2056" s="3">
        <v>0.55833333333333335</v>
      </c>
      <c r="D2056" s="3">
        <v>0.59861111111111109</v>
      </c>
      <c r="E2056" s="3">
        <v>0.91666666666666663</v>
      </c>
      <c r="F2056" s="4"/>
      <c r="G2056" s="4"/>
      <c r="H2056" s="3">
        <v>0.375</v>
      </c>
      <c r="I2056" s="3">
        <v>0.375</v>
      </c>
      <c r="J2056" s="4"/>
      <c r="K2056" s="4"/>
      <c r="L2056" s="4"/>
      <c r="M2056" s="4"/>
      <c r="N2056" s="4"/>
      <c r="O2056" s="4"/>
      <c r="P2056" s="4"/>
    </row>
    <row r="2057" spans="1:16" x14ac:dyDescent="0.25">
      <c r="A2057" s="4" t="s">
        <v>232</v>
      </c>
      <c r="B2057" s="3">
        <v>0.49305555555555558</v>
      </c>
      <c r="C2057" s="3">
        <v>0.59375</v>
      </c>
      <c r="D2057" s="3">
        <v>0.63402777777777775</v>
      </c>
      <c r="E2057" s="3">
        <v>0.875</v>
      </c>
      <c r="F2057" s="4"/>
      <c r="G2057" s="4"/>
      <c r="H2057" s="3">
        <v>0.33333333333333331</v>
      </c>
      <c r="I2057" s="3">
        <v>0.33333333333333331</v>
      </c>
      <c r="J2057" s="4"/>
      <c r="K2057" s="4"/>
      <c r="L2057" s="4"/>
      <c r="M2057" s="4"/>
      <c r="N2057" s="4"/>
      <c r="O2057" s="4"/>
      <c r="P2057" s="3">
        <v>8.3333333333333332E-3</v>
      </c>
    </row>
    <row r="2058" spans="1:16" x14ac:dyDescent="0.25">
      <c r="A2058" s="4" t="s">
        <v>233</v>
      </c>
      <c r="B2058" s="4" t="s">
        <v>25</v>
      </c>
      <c r="C2058" s="4" t="s">
        <v>25</v>
      </c>
      <c r="D2058" s="4" t="s">
        <v>25</v>
      </c>
      <c r="E2058" s="4" t="s">
        <v>25</v>
      </c>
      <c r="F2058" s="4" t="s">
        <v>25</v>
      </c>
      <c r="G2058" s="4" t="s">
        <v>25</v>
      </c>
      <c r="H2058" s="4"/>
      <c r="I2058" s="4"/>
      <c r="J2058" s="4"/>
      <c r="K2058" s="4"/>
      <c r="L2058" s="3">
        <v>0.30555555555555552</v>
      </c>
      <c r="M2058" s="4"/>
      <c r="N2058" s="4"/>
      <c r="O2058" s="4"/>
      <c r="P2058" s="4"/>
    </row>
    <row r="2059" spans="1:16" x14ac:dyDescent="0.25">
      <c r="A2059" s="4" t="s">
        <v>234</v>
      </c>
      <c r="B2059" s="4" t="s">
        <v>25</v>
      </c>
      <c r="C2059" s="4" t="s">
        <v>25</v>
      </c>
      <c r="D2059" s="4" t="s">
        <v>25</v>
      </c>
      <c r="E2059" s="4" t="s">
        <v>25</v>
      </c>
      <c r="F2059" s="4" t="s">
        <v>25</v>
      </c>
      <c r="G2059" s="4" t="s">
        <v>25</v>
      </c>
      <c r="H2059" s="4"/>
      <c r="I2059" s="4"/>
      <c r="J2059" s="4"/>
      <c r="K2059" s="4"/>
      <c r="L2059" s="4"/>
      <c r="M2059" s="4"/>
      <c r="N2059" s="4"/>
      <c r="O2059" s="4"/>
      <c r="P2059" s="4"/>
    </row>
    <row r="2060" spans="1:16" x14ac:dyDescent="0.25">
      <c r="A2060" s="4" t="s">
        <v>235</v>
      </c>
      <c r="B2060" s="3">
        <v>0.49513888888888885</v>
      </c>
      <c r="C2060" s="3">
        <v>0.80208333333333337</v>
      </c>
      <c r="D2060" s="3">
        <v>0.84305555555555556</v>
      </c>
      <c r="E2060" s="3">
        <v>0.91666666666666663</v>
      </c>
      <c r="F2060" s="4"/>
      <c r="G2060" s="4"/>
      <c r="H2060" s="3">
        <v>0.375</v>
      </c>
      <c r="I2060" s="3">
        <v>0.375</v>
      </c>
      <c r="J2060" s="4"/>
      <c r="K2060" s="4"/>
      <c r="L2060" s="4"/>
      <c r="M2060" s="4"/>
      <c r="N2060" s="4"/>
      <c r="O2060" s="4"/>
      <c r="P2060" s="4"/>
    </row>
    <row r="2061" spans="1:16" x14ac:dyDescent="0.25">
      <c r="A2061" s="4" t="s">
        <v>236</v>
      </c>
      <c r="B2061" s="3">
        <v>0.5</v>
      </c>
      <c r="C2061" s="3">
        <v>0.56458333333333333</v>
      </c>
      <c r="D2061" s="3">
        <v>0.60555555555555551</v>
      </c>
      <c r="E2061" s="3">
        <v>0.91666666666666663</v>
      </c>
      <c r="F2061" s="4"/>
      <c r="G2061" s="4"/>
      <c r="H2061" s="3">
        <v>0.375</v>
      </c>
      <c r="I2061" s="3">
        <v>0.375</v>
      </c>
      <c r="J2061" s="4"/>
      <c r="K2061" s="4"/>
      <c r="L2061" s="4"/>
      <c r="M2061" s="4"/>
      <c r="N2061" s="4"/>
      <c r="O2061" s="4"/>
      <c r="P2061" s="4"/>
    </row>
    <row r="2062" spans="1:16" x14ac:dyDescent="0.25">
      <c r="A2062" s="4" t="s">
        <v>237</v>
      </c>
      <c r="B2062" s="3">
        <v>0.49513888888888885</v>
      </c>
      <c r="C2062" s="3">
        <v>0.56805555555555554</v>
      </c>
      <c r="D2062" s="3">
        <v>0.60972222222222217</v>
      </c>
      <c r="E2062" s="3">
        <v>0.91666666666666663</v>
      </c>
      <c r="F2062" s="4"/>
      <c r="G2062" s="4"/>
      <c r="H2062" s="3">
        <v>0.375</v>
      </c>
      <c r="I2062" s="3">
        <v>0.375</v>
      </c>
      <c r="J2062" s="4"/>
      <c r="K2062" s="4"/>
      <c r="L2062" s="4"/>
      <c r="M2062" s="4"/>
      <c r="N2062" s="4"/>
      <c r="O2062" s="4"/>
      <c r="P2062" s="4"/>
    </row>
    <row r="2063" spans="1:16" x14ac:dyDescent="0.25">
      <c r="A2063" s="4" t="s">
        <v>238</v>
      </c>
      <c r="B2063" s="3">
        <v>0.50277777777777777</v>
      </c>
      <c r="C2063" s="3">
        <v>0.56805555555555554</v>
      </c>
      <c r="D2063" s="3">
        <v>0.6069444444444444</v>
      </c>
      <c r="E2063" s="3">
        <v>0.91805555555555562</v>
      </c>
      <c r="F2063" s="4"/>
      <c r="G2063" s="4"/>
      <c r="H2063" s="3">
        <v>0.375</v>
      </c>
      <c r="I2063" s="3">
        <v>0.375</v>
      </c>
      <c r="J2063" s="4"/>
      <c r="K2063" s="4"/>
      <c r="L2063" s="4"/>
      <c r="M2063" s="4"/>
      <c r="N2063" s="4"/>
      <c r="O2063" s="4"/>
      <c r="P2063" s="4"/>
    </row>
    <row r="2064" spans="1:16" x14ac:dyDescent="0.25">
      <c r="A2064" s="4" t="s">
        <v>239</v>
      </c>
      <c r="B2064" s="3">
        <v>0.49791666666666662</v>
      </c>
      <c r="C2064" s="3">
        <v>0.65347222222222223</v>
      </c>
      <c r="D2064" s="3">
        <v>0.69444444444444453</v>
      </c>
      <c r="E2064" s="3">
        <v>0.87638888888888899</v>
      </c>
      <c r="F2064" s="4"/>
      <c r="G2064" s="4"/>
      <c r="H2064" s="3">
        <v>0.33333333333333331</v>
      </c>
      <c r="I2064" s="3">
        <v>0.33333333333333331</v>
      </c>
      <c r="J2064" s="4"/>
      <c r="K2064" s="4"/>
      <c r="L2064" s="4"/>
      <c r="M2064" s="4"/>
      <c r="N2064" s="4"/>
      <c r="O2064" s="4"/>
      <c r="P2064" s="4"/>
    </row>
    <row r="2065" spans="1:16" x14ac:dyDescent="0.25">
      <c r="A2065" s="4" t="s">
        <v>240</v>
      </c>
      <c r="B2065" s="4" t="s">
        <v>25</v>
      </c>
      <c r="C2065" s="4" t="s">
        <v>25</v>
      </c>
      <c r="D2065" s="4" t="s">
        <v>25</v>
      </c>
      <c r="E2065" s="4" t="s">
        <v>25</v>
      </c>
      <c r="F2065" s="4" t="s">
        <v>25</v>
      </c>
      <c r="G2065" s="4" t="s">
        <v>25</v>
      </c>
      <c r="H2065" s="4"/>
      <c r="I2065" s="4"/>
      <c r="J2065" s="4"/>
      <c r="K2065" s="4"/>
      <c r="L2065" s="3">
        <v>0.30555555555555552</v>
      </c>
      <c r="M2065" s="4"/>
      <c r="N2065" s="4"/>
      <c r="O2065" s="4"/>
      <c r="P2065" s="4"/>
    </row>
    <row r="2066" spans="1:16" x14ac:dyDescent="0.25">
      <c r="A2066" s="4" t="s">
        <v>241</v>
      </c>
      <c r="B2066" s="4" t="s">
        <v>25</v>
      </c>
      <c r="C2066" s="4" t="s">
        <v>25</v>
      </c>
      <c r="D2066" s="4" t="s">
        <v>25</v>
      </c>
      <c r="E2066" s="4" t="s">
        <v>25</v>
      </c>
      <c r="F2066" s="4" t="s">
        <v>25</v>
      </c>
      <c r="G2066" s="4" t="s">
        <v>25</v>
      </c>
      <c r="H2066" s="4"/>
      <c r="I2066" s="4"/>
      <c r="J2066" s="4"/>
      <c r="K2066" s="4"/>
      <c r="L2066" s="4"/>
      <c r="M2066" s="4"/>
      <c r="N2066" s="4"/>
      <c r="O2066" s="4"/>
      <c r="P2066" s="4"/>
    </row>
    <row r="2067" spans="1:16" x14ac:dyDescent="0.25">
      <c r="A2067" s="4" t="s">
        <v>242</v>
      </c>
      <c r="B2067" s="3">
        <v>0.50138888888888888</v>
      </c>
      <c r="C2067" s="3">
        <v>0.57222222222222219</v>
      </c>
      <c r="D2067" s="3">
        <v>0.61805555555555558</v>
      </c>
      <c r="E2067" s="3">
        <v>0.91666666666666663</v>
      </c>
      <c r="F2067" s="4"/>
      <c r="G2067" s="4"/>
      <c r="H2067" s="3">
        <v>0.375</v>
      </c>
      <c r="I2067" s="3">
        <v>0.375</v>
      </c>
      <c r="J2067" s="4"/>
      <c r="K2067" s="4"/>
      <c r="L2067" s="4"/>
      <c r="M2067" s="4"/>
      <c r="N2067" s="4"/>
      <c r="O2067" s="4"/>
      <c r="P2067" s="4"/>
    </row>
    <row r="2068" spans="1:16" x14ac:dyDescent="0.25">
      <c r="A2068" s="4" t="s">
        <v>243</v>
      </c>
      <c r="B2068" s="3">
        <v>0.49305555555555558</v>
      </c>
      <c r="C2068" s="3">
        <v>0.58472222222222225</v>
      </c>
      <c r="D2068" s="3">
        <v>0.62708333333333333</v>
      </c>
      <c r="E2068" s="3">
        <v>0.91666666666666663</v>
      </c>
      <c r="F2068" s="4"/>
      <c r="G2068" s="4"/>
      <c r="H2068" s="3">
        <v>0.375</v>
      </c>
      <c r="I2068" s="3">
        <v>0.375</v>
      </c>
      <c r="J2068" s="4"/>
      <c r="K2068" s="4"/>
      <c r="L2068" s="4"/>
      <c r="M2068" s="4"/>
      <c r="N2068" s="4"/>
      <c r="O2068" s="4"/>
      <c r="P2068" s="4"/>
    </row>
    <row r="2069" spans="1:16" x14ac:dyDescent="0.25">
      <c r="A2069" s="4" t="s">
        <v>244</v>
      </c>
      <c r="B2069" s="4" t="s">
        <v>265</v>
      </c>
      <c r="C2069" s="4" t="s">
        <v>265</v>
      </c>
      <c r="D2069" s="4" t="s">
        <v>265</v>
      </c>
      <c r="E2069" s="4" t="s">
        <v>265</v>
      </c>
      <c r="F2069" s="4"/>
      <c r="G2069" s="4"/>
      <c r="H2069" s="4"/>
      <c r="I2069" s="4"/>
      <c r="J2069" s="4"/>
      <c r="K2069" s="4"/>
      <c r="L2069" s="4"/>
      <c r="M2069" s="4"/>
      <c r="N2069" s="4"/>
      <c r="O2069" s="4"/>
      <c r="P2069" s="4"/>
    </row>
    <row r="2070" spans="1:16" x14ac:dyDescent="0.25">
      <c r="A2070" s="4" t="s">
        <v>245</v>
      </c>
      <c r="B2070" s="4" t="s">
        <v>265</v>
      </c>
      <c r="C2070" s="4" t="s">
        <v>265</v>
      </c>
      <c r="D2070" s="4" t="s">
        <v>265</v>
      </c>
      <c r="E2070" s="4" t="s">
        <v>265</v>
      </c>
      <c r="F2070" s="4"/>
      <c r="G2070" s="4"/>
      <c r="H2070" s="3">
        <v>0.375</v>
      </c>
      <c r="I2070" s="3">
        <v>0.375</v>
      </c>
      <c r="J2070" s="3">
        <v>0.375</v>
      </c>
      <c r="K2070" s="4"/>
      <c r="L2070" s="4"/>
      <c r="M2070" s="4"/>
      <c r="N2070" s="4"/>
      <c r="O2070" s="4"/>
      <c r="P2070" s="4"/>
    </row>
    <row r="2071" spans="1:16" x14ac:dyDescent="0.25">
      <c r="A2071" s="4" t="s">
        <v>246</v>
      </c>
      <c r="B2071" s="3">
        <v>0.49652777777777773</v>
      </c>
      <c r="C2071" s="3">
        <v>0.59722222222222221</v>
      </c>
      <c r="D2071" s="3">
        <v>0.64027777777777783</v>
      </c>
      <c r="E2071" s="3">
        <v>0.87708333333333333</v>
      </c>
      <c r="F2071" s="4"/>
      <c r="G2071" s="4"/>
      <c r="H2071" s="3">
        <v>0.33333333333333331</v>
      </c>
      <c r="I2071" s="3">
        <v>0.33333333333333331</v>
      </c>
      <c r="J2071" s="4"/>
      <c r="K2071" s="4"/>
      <c r="L2071" s="4"/>
      <c r="M2071" s="4"/>
      <c r="N2071" s="4"/>
      <c r="O2071" s="4"/>
      <c r="P2071" s="4"/>
    </row>
    <row r="2072" spans="1:16" x14ac:dyDescent="0.25">
      <c r="A2072" s="4" t="s">
        <v>247</v>
      </c>
      <c r="B2072" s="4" t="s">
        <v>25</v>
      </c>
      <c r="C2072" s="4" t="s">
        <v>25</v>
      </c>
      <c r="D2072" s="4" t="s">
        <v>25</v>
      </c>
      <c r="E2072" s="4" t="s">
        <v>25</v>
      </c>
      <c r="F2072" s="4" t="s">
        <v>25</v>
      </c>
      <c r="G2072" s="4" t="s">
        <v>25</v>
      </c>
      <c r="H2072" s="4"/>
      <c r="I2072" s="4"/>
      <c r="J2072" s="4"/>
      <c r="K2072" s="4"/>
      <c r="L2072" s="3">
        <v>0.30555555555555552</v>
      </c>
      <c r="M2072" s="4"/>
      <c r="N2072" s="4"/>
      <c r="O2072" s="4"/>
      <c r="P2072" s="4"/>
    </row>
    <row r="2073" spans="1:16" x14ac:dyDescent="0.25">
      <c r="A2073" s="4" t="s">
        <v>248</v>
      </c>
      <c r="B2073" s="4" t="s">
        <v>25</v>
      </c>
      <c r="C2073" s="4" t="s">
        <v>25</v>
      </c>
      <c r="D2073" s="4" t="s">
        <v>25</v>
      </c>
      <c r="E2073" s="4" t="s">
        <v>25</v>
      </c>
      <c r="F2073" s="4" t="s">
        <v>25</v>
      </c>
      <c r="G2073" s="4" t="s">
        <v>25</v>
      </c>
      <c r="H2073" s="4"/>
      <c r="I2073" s="4"/>
      <c r="J2073" s="4"/>
      <c r="K2073" s="4"/>
      <c r="L2073" s="4"/>
      <c r="M2073" s="4"/>
      <c r="N2073" s="4"/>
      <c r="O2073" s="4"/>
      <c r="P2073" s="4"/>
    </row>
    <row r="2074" spans="1:16" x14ac:dyDescent="0.25">
      <c r="A2074" s="4" t="s">
        <v>249</v>
      </c>
      <c r="B2074" s="3">
        <v>0.49374999999999997</v>
      </c>
      <c r="C2074" s="3">
        <v>0.57222222222222219</v>
      </c>
      <c r="D2074" s="4" t="s">
        <v>52</v>
      </c>
      <c r="E2074" s="4" t="s">
        <v>52</v>
      </c>
      <c r="F2074" s="4"/>
      <c r="G2074" s="4"/>
      <c r="H2074" s="3">
        <v>0.375</v>
      </c>
      <c r="I2074" s="3">
        <v>0.375</v>
      </c>
      <c r="J2074" s="3">
        <v>0.29652777777777778</v>
      </c>
      <c r="K2074" s="4"/>
      <c r="L2074" s="4"/>
      <c r="M2074" s="4"/>
      <c r="N2074" s="4"/>
      <c r="O2074" s="4"/>
      <c r="P2074" s="4"/>
    </row>
    <row r="2075" spans="1:16" x14ac:dyDescent="0.25">
      <c r="A2075" s="4" t="s">
        <v>251</v>
      </c>
      <c r="B2075" s="4" t="s">
        <v>52</v>
      </c>
      <c r="C2075" s="4" t="s">
        <v>52</v>
      </c>
      <c r="D2075" s="4" t="s">
        <v>52</v>
      </c>
      <c r="E2075" s="4" t="s">
        <v>52</v>
      </c>
      <c r="F2075" s="4"/>
      <c r="G2075" s="4"/>
      <c r="H2075" s="3">
        <v>0.375</v>
      </c>
      <c r="I2075" s="3">
        <v>0.375</v>
      </c>
      <c r="J2075" s="3">
        <v>0.375</v>
      </c>
      <c r="K2075" s="4"/>
      <c r="L2075" s="4"/>
      <c r="M2075" s="4"/>
      <c r="N2075" s="4"/>
      <c r="O2075" s="4"/>
      <c r="P2075" s="4"/>
    </row>
    <row r="2076" spans="1:16" x14ac:dyDescent="0.25">
      <c r="A2076" s="4" t="s">
        <v>256</v>
      </c>
      <c r="B2076" s="4" t="s">
        <v>52</v>
      </c>
      <c r="C2076" s="4" t="s">
        <v>52</v>
      </c>
      <c r="D2076" s="4" t="s">
        <v>52</v>
      </c>
      <c r="E2076" s="4" t="s">
        <v>52</v>
      </c>
      <c r="F2076" s="4"/>
      <c r="G2076" s="4"/>
      <c r="H2076" s="3">
        <v>0.375</v>
      </c>
      <c r="I2076" s="3">
        <v>0.375</v>
      </c>
      <c r="J2076" s="3">
        <v>0.375</v>
      </c>
      <c r="K2076" s="4"/>
      <c r="L2076" s="4"/>
      <c r="M2076" s="4"/>
      <c r="N2076" s="4"/>
      <c r="O2076" s="4"/>
      <c r="P2076" s="4"/>
    </row>
    <row r="2077" spans="1:16" x14ac:dyDescent="0.25">
      <c r="A2077" s="4" t="s">
        <v>259</v>
      </c>
      <c r="B2077" s="3">
        <v>0.50138888888888888</v>
      </c>
      <c r="C2077" s="3">
        <v>0.5756944444444444</v>
      </c>
      <c r="D2077" s="3">
        <v>0.61875000000000002</v>
      </c>
      <c r="E2077" s="3">
        <v>0.91736111111111107</v>
      </c>
      <c r="F2077" s="4"/>
      <c r="G2077" s="4"/>
      <c r="H2077" s="3">
        <v>0.375</v>
      </c>
      <c r="I2077" s="3">
        <v>0.375</v>
      </c>
      <c r="J2077" s="4"/>
      <c r="K2077" s="4"/>
      <c r="L2077" s="4"/>
      <c r="M2077" s="4"/>
      <c r="N2077" s="4"/>
      <c r="O2077" s="4"/>
      <c r="P2077" s="4"/>
    </row>
    <row r="2078" spans="1:16" x14ac:dyDescent="0.25">
      <c r="A2078" s="4" t="s">
        <v>260</v>
      </c>
      <c r="B2078" s="3">
        <v>0.49652777777777773</v>
      </c>
      <c r="C2078" s="3">
        <v>0.58958333333333335</v>
      </c>
      <c r="D2078" s="3">
        <v>0.63611111111111118</v>
      </c>
      <c r="E2078" s="3">
        <v>0.875</v>
      </c>
      <c r="F2078" s="4"/>
      <c r="G2078" s="4"/>
      <c r="H2078" s="3">
        <v>0.33333333333333331</v>
      </c>
      <c r="I2078" s="3">
        <v>0.33333333333333331</v>
      </c>
      <c r="J2078" s="4"/>
      <c r="K2078" s="4"/>
      <c r="L2078" s="4"/>
      <c r="M2078" s="4"/>
      <c r="N2078" s="4"/>
      <c r="O2078" s="4"/>
      <c r="P2078" s="4"/>
    </row>
    <row r="2079" spans="1:16" x14ac:dyDescent="0.25">
      <c r="A2079" s="4" t="s">
        <v>261</v>
      </c>
      <c r="B2079" s="4" t="s">
        <v>25</v>
      </c>
      <c r="C2079" s="4" t="s">
        <v>25</v>
      </c>
      <c r="D2079" s="4" t="s">
        <v>25</v>
      </c>
      <c r="E2079" s="4" t="s">
        <v>25</v>
      </c>
      <c r="F2079" s="4" t="s">
        <v>25</v>
      </c>
      <c r="G2079" s="4" t="s">
        <v>25</v>
      </c>
      <c r="H2079" s="4"/>
      <c r="I2079" s="4"/>
      <c r="J2079" s="4"/>
      <c r="K2079" s="4"/>
      <c r="L2079" s="3">
        <v>0.30555555555555552</v>
      </c>
      <c r="M2079" s="4"/>
      <c r="N2079" s="4"/>
      <c r="O2079" s="4"/>
      <c r="P2079" s="4"/>
    </row>
    <row r="2080" spans="1:16" x14ac:dyDescent="0.25">
      <c r="A2080" s="4" t="s">
        <v>262</v>
      </c>
      <c r="B2080" s="4" t="s">
        <v>25</v>
      </c>
      <c r="C2080" s="4" t="s">
        <v>25</v>
      </c>
      <c r="D2080" s="4" t="s">
        <v>25</v>
      </c>
      <c r="E2080" s="4" t="s">
        <v>25</v>
      </c>
      <c r="F2080" s="4" t="s">
        <v>25</v>
      </c>
      <c r="G2080" s="4" t="s">
        <v>25</v>
      </c>
      <c r="H2080" s="4"/>
      <c r="I2080" s="4"/>
      <c r="J2080" s="4"/>
      <c r="K2080" s="4"/>
      <c r="L2080" s="4"/>
      <c r="M2080" s="4"/>
      <c r="N2080" s="4"/>
      <c r="O2080" s="4"/>
      <c r="P2080" s="4"/>
    </row>
    <row r="2081" spans="1:16" x14ac:dyDescent="0.25">
      <c r="A2081" s="4" t="s">
        <v>263</v>
      </c>
      <c r="B2081" s="3">
        <v>0.49444444444444446</v>
      </c>
      <c r="C2081" s="3">
        <v>0.56597222222222221</v>
      </c>
      <c r="D2081" s="3">
        <v>0.61041666666666672</v>
      </c>
      <c r="E2081" s="3">
        <v>0.91666666666666663</v>
      </c>
      <c r="F2081" s="4"/>
      <c r="G2081" s="4"/>
      <c r="H2081" s="3">
        <v>0.375</v>
      </c>
      <c r="I2081" s="3">
        <v>0.375</v>
      </c>
      <c r="J2081" s="4"/>
      <c r="K2081" s="4"/>
      <c r="L2081" s="4"/>
      <c r="M2081" s="4"/>
      <c r="N2081" s="4"/>
      <c r="O2081" s="4"/>
      <c r="P2081" s="4"/>
    </row>
    <row r="2082" spans="1:16" x14ac:dyDescent="0.25">
      <c r="A2082" s="4" t="s">
        <v>264</v>
      </c>
      <c r="B2082" s="3">
        <v>0.50069444444444444</v>
      </c>
      <c r="C2082" s="3">
        <v>0.57291666666666663</v>
      </c>
      <c r="D2082" s="3">
        <v>0.61527777777777781</v>
      </c>
      <c r="E2082" s="3">
        <v>0.91666666666666663</v>
      </c>
      <c r="F2082" s="4"/>
      <c r="G2082" s="4"/>
      <c r="H2082" s="3">
        <v>0.375</v>
      </c>
      <c r="I2082" s="3">
        <v>0.375</v>
      </c>
      <c r="J2082" s="4"/>
      <c r="K2082" s="4"/>
      <c r="L2082" s="4"/>
      <c r="M2082" s="4"/>
      <c r="N2082" s="4"/>
      <c r="O2082" s="4"/>
      <c r="P2082" s="4"/>
    </row>
    <row r="2084" spans="1:16" x14ac:dyDescent="0.25">
      <c r="A2084" s="7" t="s">
        <v>45</v>
      </c>
    </row>
    <row r="2087" spans="1:16" x14ac:dyDescent="0.25">
      <c r="A2087" s="7" t="s">
        <v>46</v>
      </c>
    </row>
    <row r="2088" spans="1:16" x14ac:dyDescent="0.25">
      <c r="A2088" s="7" t="s">
        <v>116</v>
      </c>
      <c r="F2088" s="7" t="s">
        <v>47</v>
      </c>
    </row>
    <row r="2089" spans="1:16" x14ac:dyDescent="0.25">
      <c r="F2089" s="7"/>
    </row>
    <row r="2093" spans="1:16" x14ac:dyDescent="0.25">
      <c r="G2093" s="1" t="s">
        <v>18</v>
      </c>
    </row>
    <row r="2094" spans="1:16" x14ac:dyDescent="0.25">
      <c r="A2094" s="1" t="s">
        <v>1</v>
      </c>
      <c r="B2094" t="s">
        <v>2</v>
      </c>
      <c r="H2094" s="1" t="s">
        <v>19</v>
      </c>
      <c r="I2094" s="1" t="s">
        <v>20</v>
      </c>
      <c r="J2094" s="1" t="s">
        <v>21</v>
      </c>
      <c r="K2094" s="1" t="s">
        <v>22</v>
      </c>
      <c r="L2094" s="1" t="s">
        <v>23</v>
      </c>
      <c r="M2094" s="1" t="s">
        <v>24</v>
      </c>
    </row>
    <row r="2095" spans="1:16" x14ac:dyDescent="0.25">
      <c r="A2095" s="1" t="s">
        <v>3</v>
      </c>
      <c r="B2095" t="s">
        <v>4</v>
      </c>
      <c r="G2095" s="1" t="s">
        <v>220</v>
      </c>
      <c r="H2095" s="3">
        <v>0.375</v>
      </c>
      <c r="I2095" s="3">
        <v>0.5</v>
      </c>
      <c r="J2095" s="3">
        <v>0.54166666666666663</v>
      </c>
      <c r="K2095" s="3">
        <v>0.79166666666666663</v>
      </c>
      <c r="L2095" s="4"/>
      <c r="M2095" s="4"/>
    </row>
    <row r="2096" spans="1:16" x14ac:dyDescent="0.25">
      <c r="A2096" s="1" t="s">
        <v>5</v>
      </c>
      <c r="B2096" t="s">
        <v>6</v>
      </c>
      <c r="G2096" s="1" t="s">
        <v>221</v>
      </c>
      <c r="H2096" s="3">
        <v>0.375</v>
      </c>
      <c r="I2096" s="3">
        <v>0.5</v>
      </c>
      <c r="J2096" s="3">
        <v>0.54166666666666663</v>
      </c>
      <c r="K2096" s="3">
        <v>0.79166666666666663</v>
      </c>
      <c r="L2096" s="4"/>
      <c r="M2096" s="4"/>
    </row>
    <row r="2097" spans="1:16" x14ac:dyDescent="0.25">
      <c r="G2097" s="1" t="s">
        <v>222</v>
      </c>
      <c r="H2097" s="3">
        <v>0.375</v>
      </c>
      <c r="I2097" s="3">
        <v>0.5</v>
      </c>
      <c r="J2097" s="3">
        <v>0.54166666666666663</v>
      </c>
      <c r="K2097" s="3">
        <v>0.79166666666666663</v>
      </c>
      <c r="L2097" s="4"/>
      <c r="M2097" s="4"/>
    </row>
    <row r="2098" spans="1:16" x14ac:dyDescent="0.25">
      <c r="A2098" s="1" t="s">
        <v>7</v>
      </c>
      <c r="B2098" t="s">
        <v>294</v>
      </c>
      <c r="G2098" s="1" t="s">
        <v>223</v>
      </c>
      <c r="H2098" s="3">
        <v>0.375</v>
      </c>
      <c r="I2098" s="3">
        <v>0.5</v>
      </c>
      <c r="J2098" s="3">
        <v>0.54166666666666663</v>
      </c>
      <c r="K2098" s="3">
        <v>0.79166666666666663</v>
      </c>
      <c r="L2098" s="4"/>
      <c r="M2098" s="4"/>
    </row>
    <row r="2099" spans="1:16" x14ac:dyDescent="0.25">
      <c r="A2099" s="1" t="s">
        <v>9</v>
      </c>
      <c r="B2099" t="s">
        <v>295</v>
      </c>
      <c r="D2099" s="1" t="s">
        <v>11</v>
      </c>
      <c r="E2099" t="s">
        <v>295</v>
      </c>
      <c r="G2099" s="1" t="s">
        <v>224</v>
      </c>
      <c r="H2099" s="3">
        <v>0.375</v>
      </c>
      <c r="I2099" s="3">
        <v>0.5</v>
      </c>
      <c r="J2099" s="3">
        <v>0.54166666666666663</v>
      </c>
      <c r="K2099" s="3">
        <v>0.75</v>
      </c>
      <c r="L2099" s="4"/>
      <c r="M2099" s="4"/>
    </row>
    <row r="2100" spans="1:16" x14ac:dyDescent="0.25">
      <c r="A2100" s="1" t="s">
        <v>12</v>
      </c>
      <c r="D2100" s="1" t="s">
        <v>13</v>
      </c>
      <c r="E2100" s="2">
        <v>42982</v>
      </c>
      <c r="G2100" s="1" t="s">
        <v>225</v>
      </c>
      <c r="H2100" s="4" t="s">
        <v>25</v>
      </c>
      <c r="I2100" s="4" t="s">
        <v>25</v>
      </c>
      <c r="J2100" s="4" t="s">
        <v>25</v>
      </c>
      <c r="K2100" s="4" t="s">
        <v>25</v>
      </c>
      <c r="L2100" s="4" t="s">
        <v>25</v>
      </c>
      <c r="M2100" s="4" t="s">
        <v>25</v>
      </c>
    </row>
    <row r="2101" spans="1:16" x14ac:dyDescent="0.25">
      <c r="A2101" s="1" t="s">
        <v>14</v>
      </c>
      <c r="B2101" t="s">
        <v>268</v>
      </c>
      <c r="G2101" s="1" t="s">
        <v>226</v>
      </c>
      <c r="H2101" s="4" t="s">
        <v>25</v>
      </c>
      <c r="I2101" s="4" t="s">
        <v>25</v>
      </c>
      <c r="J2101" s="4" t="s">
        <v>25</v>
      </c>
      <c r="K2101" s="4" t="s">
        <v>25</v>
      </c>
      <c r="L2101" s="4" t="s">
        <v>25</v>
      </c>
      <c r="M2101" s="4" t="s">
        <v>25</v>
      </c>
    </row>
    <row r="2102" spans="1:16" x14ac:dyDescent="0.25">
      <c r="A2102" s="1" t="s">
        <v>16</v>
      </c>
      <c r="B2102" t="s">
        <v>17</v>
      </c>
    </row>
    <row r="2105" spans="1:16" x14ac:dyDescent="0.25">
      <c r="A2105" s="5" t="s">
        <v>26</v>
      </c>
      <c r="B2105" s="5" t="s">
        <v>27</v>
      </c>
      <c r="C2105" s="5" t="s">
        <v>28</v>
      </c>
      <c r="D2105" s="5" t="s">
        <v>29</v>
      </c>
      <c r="E2105" s="5" t="s">
        <v>30</v>
      </c>
      <c r="F2105" s="5" t="s">
        <v>31</v>
      </c>
      <c r="G2105" s="5" t="s">
        <v>32</v>
      </c>
      <c r="H2105" s="5" t="s">
        <v>33</v>
      </c>
      <c r="I2105" s="5" t="s">
        <v>34</v>
      </c>
      <c r="J2105" s="5" t="s">
        <v>35</v>
      </c>
      <c r="K2105" s="5" t="s">
        <v>36</v>
      </c>
      <c r="L2105" s="5" t="s">
        <v>37</v>
      </c>
      <c r="M2105" s="5" t="s">
        <v>38</v>
      </c>
      <c r="N2105" s="5" t="s">
        <v>39</v>
      </c>
      <c r="O2105" s="5" t="s">
        <v>40</v>
      </c>
      <c r="P2105" s="5" t="s">
        <v>41</v>
      </c>
    </row>
    <row r="2106" spans="1:16" x14ac:dyDescent="0.25">
      <c r="A2106" s="4"/>
      <c r="B2106" s="4"/>
      <c r="C2106" s="4"/>
      <c r="D2106" s="4"/>
      <c r="E2106" s="4"/>
      <c r="F2106" s="4"/>
      <c r="G2106" s="4"/>
      <c r="H2106" s="6">
        <v>4.416666666666667</v>
      </c>
      <c r="I2106" s="6">
        <v>4.416666666666667</v>
      </c>
      <c r="J2106" s="6">
        <v>3.6666666666666665</v>
      </c>
      <c r="K2106" s="3">
        <v>0</v>
      </c>
      <c r="L2106" s="3">
        <v>0</v>
      </c>
      <c r="M2106" s="3">
        <v>0.61111111111111105</v>
      </c>
      <c r="N2106" s="3">
        <v>0</v>
      </c>
      <c r="O2106" s="3">
        <v>0</v>
      </c>
      <c r="P2106" s="3">
        <v>0</v>
      </c>
    </row>
    <row r="2107" spans="1:16" x14ac:dyDescent="0.25">
      <c r="A2107" s="4" t="s">
        <v>227</v>
      </c>
      <c r="B2107" s="4"/>
      <c r="C2107" s="4"/>
      <c r="D2107" s="4"/>
      <c r="E2107" s="4"/>
      <c r="F2107" s="4"/>
      <c r="G2107" s="4"/>
      <c r="H2107" s="4"/>
      <c r="I2107" s="4"/>
      <c r="J2107" s="4"/>
      <c r="K2107" s="4"/>
      <c r="L2107" s="4"/>
      <c r="M2107" s="4"/>
      <c r="N2107" s="4"/>
      <c r="O2107" s="4"/>
      <c r="P2107" s="4"/>
    </row>
    <row r="2108" spans="1:16" x14ac:dyDescent="0.25">
      <c r="A2108" s="4" t="s">
        <v>228</v>
      </c>
      <c r="B2108" s="4"/>
      <c r="C2108" s="4"/>
      <c r="D2108" s="4"/>
      <c r="E2108" s="4"/>
      <c r="F2108" s="4"/>
      <c r="G2108" s="4"/>
      <c r="H2108" s="4"/>
      <c r="I2108" s="4"/>
      <c r="J2108" s="4"/>
      <c r="K2108" s="4"/>
      <c r="L2108" s="4"/>
      <c r="M2108" s="4"/>
      <c r="N2108" s="4"/>
      <c r="O2108" s="4"/>
      <c r="P2108" s="4"/>
    </row>
    <row r="2109" spans="1:16" x14ac:dyDescent="0.25">
      <c r="A2109" s="4" t="s">
        <v>229</v>
      </c>
      <c r="B2109" s="4"/>
      <c r="C2109" s="4"/>
      <c r="D2109" s="4"/>
      <c r="E2109" s="4"/>
      <c r="F2109" s="4"/>
      <c r="G2109" s="4"/>
      <c r="H2109" s="4"/>
      <c r="I2109" s="4"/>
      <c r="J2109" s="4"/>
      <c r="K2109" s="4"/>
      <c r="L2109" s="4"/>
      <c r="M2109" s="4"/>
      <c r="N2109" s="4"/>
      <c r="O2109" s="4"/>
      <c r="P2109" s="4"/>
    </row>
    <row r="2110" spans="1:16" x14ac:dyDescent="0.25">
      <c r="A2110" s="4" t="s">
        <v>230</v>
      </c>
      <c r="B2110" s="4"/>
      <c r="C2110" s="4"/>
      <c r="D2110" s="4"/>
      <c r="E2110" s="4"/>
      <c r="F2110" s="4"/>
      <c r="G2110" s="4"/>
      <c r="H2110" s="4"/>
      <c r="I2110" s="4"/>
      <c r="J2110" s="4"/>
      <c r="K2110" s="4"/>
      <c r="L2110" s="4"/>
      <c r="M2110" s="4"/>
      <c r="N2110" s="4"/>
      <c r="O2110" s="4"/>
      <c r="P2110" s="4"/>
    </row>
    <row r="2111" spans="1:16" x14ac:dyDescent="0.25">
      <c r="A2111" s="4" t="s">
        <v>231</v>
      </c>
      <c r="B2111" s="4"/>
      <c r="C2111" s="4"/>
      <c r="D2111" s="4"/>
      <c r="E2111" s="4"/>
      <c r="F2111" s="4"/>
      <c r="G2111" s="4"/>
      <c r="H2111" s="4"/>
      <c r="I2111" s="4"/>
      <c r="J2111" s="4"/>
      <c r="K2111" s="4"/>
      <c r="L2111" s="4"/>
      <c r="M2111" s="4"/>
      <c r="N2111" s="4"/>
      <c r="O2111" s="4"/>
      <c r="P2111" s="4"/>
    </row>
    <row r="2112" spans="1:16" x14ac:dyDescent="0.25">
      <c r="A2112" s="4" t="s">
        <v>232</v>
      </c>
      <c r="B2112" s="4"/>
      <c r="C2112" s="4"/>
      <c r="D2112" s="4"/>
      <c r="E2112" s="4"/>
      <c r="F2112" s="4"/>
      <c r="G2112" s="4"/>
      <c r="H2112" s="4"/>
      <c r="I2112" s="4"/>
      <c r="J2112" s="4"/>
      <c r="K2112" s="4"/>
      <c r="L2112" s="4"/>
      <c r="M2112" s="4"/>
      <c r="N2112" s="4"/>
      <c r="O2112" s="4"/>
      <c r="P2112" s="4"/>
    </row>
    <row r="2113" spans="1:16" x14ac:dyDescent="0.25">
      <c r="A2113" s="4" t="s">
        <v>233</v>
      </c>
      <c r="B2113" s="4"/>
      <c r="C2113" s="4"/>
      <c r="D2113" s="4"/>
      <c r="E2113" s="4"/>
      <c r="F2113" s="4"/>
      <c r="G2113" s="4"/>
      <c r="H2113" s="4"/>
      <c r="I2113" s="4"/>
      <c r="J2113" s="4"/>
      <c r="K2113" s="4"/>
      <c r="L2113" s="4"/>
      <c r="M2113" s="3">
        <v>0.30555555555555552</v>
      </c>
      <c r="N2113" s="4"/>
      <c r="O2113" s="4"/>
      <c r="P2113" s="4"/>
    </row>
    <row r="2114" spans="1:16" x14ac:dyDescent="0.25">
      <c r="A2114" s="4" t="s">
        <v>234</v>
      </c>
      <c r="B2114" s="4"/>
      <c r="C2114" s="4"/>
      <c r="D2114" s="4"/>
      <c r="E2114" s="4"/>
      <c r="F2114" s="4"/>
      <c r="G2114" s="4"/>
      <c r="H2114" s="4"/>
      <c r="I2114" s="4"/>
      <c r="J2114" s="4"/>
      <c r="K2114" s="4"/>
      <c r="L2114" s="4"/>
      <c r="M2114" s="4"/>
      <c r="N2114" s="4"/>
      <c r="O2114" s="4"/>
      <c r="P2114" s="4"/>
    </row>
    <row r="2115" spans="1:16" x14ac:dyDescent="0.25">
      <c r="A2115" s="4" t="s">
        <v>235</v>
      </c>
      <c r="B2115" s="4"/>
      <c r="C2115" s="4"/>
      <c r="D2115" s="4"/>
      <c r="E2115" s="4"/>
      <c r="F2115" s="4"/>
      <c r="G2115" s="4"/>
      <c r="H2115" s="4"/>
      <c r="I2115" s="4"/>
      <c r="J2115" s="4"/>
      <c r="K2115" s="4"/>
      <c r="L2115" s="4"/>
      <c r="M2115" s="4"/>
      <c r="N2115" s="4"/>
      <c r="O2115" s="4"/>
      <c r="P2115" s="4"/>
    </row>
    <row r="2116" spans="1:16" x14ac:dyDescent="0.25">
      <c r="A2116" s="4" t="s">
        <v>236</v>
      </c>
      <c r="B2116" s="4"/>
      <c r="C2116" s="4"/>
      <c r="D2116" s="4"/>
      <c r="E2116" s="4"/>
      <c r="F2116" s="4"/>
      <c r="G2116" s="4"/>
      <c r="H2116" s="4"/>
      <c r="I2116" s="4"/>
      <c r="J2116" s="4"/>
      <c r="K2116" s="4"/>
      <c r="L2116" s="4"/>
      <c r="M2116" s="4"/>
      <c r="N2116" s="4"/>
      <c r="O2116" s="4"/>
      <c r="P2116" s="4"/>
    </row>
    <row r="2117" spans="1:16" x14ac:dyDescent="0.25">
      <c r="A2117" s="4" t="s">
        <v>237</v>
      </c>
      <c r="B2117" s="4"/>
      <c r="C2117" s="4"/>
      <c r="D2117" s="4"/>
      <c r="E2117" s="4"/>
      <c r="F2117" s="4"/>
      <c r="G2117" s="4"/>
      <c r="H2117" s="4"/>
      <c r="I2117" s="4"/>
      <c r="J2117" s="4"/>
      <c r="K2117" s="4"/>
      <c r="L2117" s="4"/>
      <c r="M2117" s="4"/>
      <c r="N2117" s="4"/>
      <c r="O2117" s="4"/>
      <c r="P2117" s="4"/>
    </row>
    <row r="2118" spans="1:16" x14ac:dyDescent="0.25">
      <c r="A2118" s="4" t="s">
        <v>238</v>
      </c>
      <c r="B2118" s="4"/>
      <c r="C2118" s="4"/>
      <c r="D2118" s="4"/>
      <c r="E2118" s="4"/>
      <c r="F2118" s="4"/>
      <c r="G2118" s="4"/>
      <c r="H2118" s="4"/>
      <c r="I2118" s="4"/>
      <c r="J2118" s="4"/>
      <c r="K2118" s="4"/>
      <c r="L2118" s="4"/>
      <c r="M2118" s="4"/>
      <c r="N2118" s="4"/>
      <c r="O2118" s="4"/>
      <c r="P2118" s="4"/>
    </row>
    <row r="2119" spans="1:16" x14ac:dyDescent="0.25">
      <c r="A2119" s="4" t="s">
        <v>239</v>
      </c>
      <c r="B2119" s="4"/>
      <c r="C2119" s="4"/>
      <c r="D2119" s="4"/>
      <c r="E2119" s="4"/>
      <c r="F2119" s="4"/>
      <c r="G2119" s="4"/>
      <c r="H2119" s="4"/>
      <c r="I2119" s="4"/>
      <c r="J2119" s="4"/>
      <c r="K2119" s="4"/>
      <c r="L2119" s="4"/>
      <c r="M2119" s="4"/>
      <c r="N2119" s="4"/>
      <c r="O2119" s="4"/>
      <c r="P2119" s="4"/>
    </row>
    <row r="2120" spans="1:16" x14ac:dyDescent="0.25">
      <c r="A2120" s="4" t="s">
        <v>240</v>
      </c>
      <c r="B2120" s="4"/>
      <c r="C2120" s="4"/>
      <c r="D2120" s="4"/>
      <c r="E2120" s="4"/>
      <c r="F2120" s="4"/>
      <c r="G2120" s="4"/>
      <c r="H2120" s="4"/>
      <c r="I2120" s="4"/>
      <c r="J2120" s="4"/>
      <c r="K2120" s="4"/>
      <c r="L2120" s="4"/>
      <c r="M2120" s="3">
        <v>0.30555555555555552</v>
      </c>
      <c r="N2120" s="4"/>
      <c r="O2120" s="4"/>
      <c r="P2120" s="4"/>
    </row>
    <row r="2121" spans="1:16" x14ac:dyDescent="0.25">
      <c r="A2121" s="4" t="s">
        <v>241</v>
      </c>
      <c r="B2121" s="4" t="s">
        <v>52</v>
      </c>
      <c r="C2121" s="4" t="s">
        <v>52</v>
      </c>
      <c r="D2121" s="4" t="s">
        <v>52</v>
      </c>
      <c r="E2121" s="4" t="s">
        <v>52</v>
      </c>
      <c r="F2121" s="4"/>
      <c r="G2121" s="4"/>
      <c r="H2121" s="3">
        <v>0.375</v>
      </c>
      <c r="I2121" s="3">
        <v>0.375</v>
      </c>
      <c r="J2121" s="3">
        <v>0.375</v>
      </c>
      <c r="K2121" s="4"/>
      <c r="L2121" s="4"/>
      <c r="M2121" s="4"/>
      <c r="N2121" s="4"/>
      <c r="O2121" s="4"/>
      <c r="P2121" s="4"/>
    </row>
    <row r="2122" spans="1:16" x14ac:dyDescent="0.25">
      <c r="A2122" s="4" t="s">
        <v>242</v>
      </c>
      <c r="B2122" s="4" t="s">
        <v>52</v>
      </c>
      <c r="C2122" s="4" t="s">
        <v>52</v>
      </c>
      <c r="D2122" s="4" t="s">
        <v>52</v>
      </c>
      <c r="E2122" s="4" t="s">
        <v>52</v>
      </c>
      <c r="F2122" s="4"/>
      <c r="G2122" s="4"/>
      <c r="H2122" s="3">
        <v>0.375</v>
      </c>
      <c r="I2122" s="3">
        <v>0.375</v>
      </c>
      <c r="J2122" s="3">
        <v>0.375</v>
      </c>
      <c r="K2122" s="4"/>
      <c r="L2122" s="4"/>
      <c r="M2122" s="4"/>
      <c r="N2122" s="4"/>
      <c r="O2122" s="4"/>
      <c r="P2122" s="4"/>
    </row>
    <row r="2123" spans="1:16" x14ac:dyDescent="0.25">
      <c r="A2123" s="4" t="s">
        <v>243</v>
      </c>
      <c r="B2123" s="4" t="s">
        <v>52</v>
      </c>
      <c r="C2123" s="4" t="s">
        <v>52</v>
      </c>
      <c r="D2123" s="4" t="s">
        <v>52</v>
      </c>
      <c r="E2123" s="4" t="s">
        <v>52</v>
      </c>
      <c r="F2123" s="4"/>
      <c r="G2123" s="4"/>
      <c r="H2123" s="3">
        <v>0.375</v>
      </c>
      <c r="I2123" s="3">
        <v>0.375</v>
      </c>
      <c r="J2123" s="3">
        <v>0.375</v>
      </c>
      <c r="K2123" s="4"/>
      <c r="L2123" s="4"/>
      <c r="M2123" s="4"/>
      <c r="N2123" s="4"/>
      <c r="O2123" s="4"/>
      <c r="P2123" s="4"/>
    </row>
    <row r="2124" spans="1:16" x14ac:dyDescent="0.25">
      <c r="A2124" s="4" t="s">
        <v>244</v>
      </c>
      <c r="B2124" s="4" t="s">
        <v>265</v>
      </c>
      <c r="C2124" s="4" t="s">
        <v>265</v>
      </c>
      <c r="D2124" s="4" t="s">
        <v>265</v>
      </c>
      <c r="E2124" s="4" t="s">
        <v>265</v>
      </c>
      <c r="F2124" s="4"/>
      <c r="G2124" s="4"/>
      <c r="H2124" s="4"/>
      <c r="I2124" s="4"/>
      <c r="J2124" s="4"/>
      <c r="K2124" s="4"/>
      <c r="L2124" s="4"/>
      <c r="M2124" s="4"/>
      <c r="N2124" s="4"/>
      <c r="O2124" s="4"/>
      <c r="P2124" s="4"/>
    </row>
    <row r="2125" spans="1:16" x14ac:dyDescent="0.25">
      <c r="A2125" s="4" t="s">
        <v>245</v>
      </c>
      <c r="B2125" s="4" t="s">
        <v>52</v>
      </c>
      <c r="C2125" s="4" t="s">
        <v>52</v>
      </c>
      <c r="D2125" s="4" t="s">
        <v>52</v>
      </c>
      <c r="E2125" s="4" t="s">
        <v>52</v>
      </c>
      <c r="F2125" s="4"/>
      <c r="G2125" s="4"/>
      <c r="H2125" s="3">
        <v>0.33333333333333331</v>
      </c>
      <c r="I2125" s="3">
        <v>0.33333333333333331</v>
      </c>
      <c r="J2125" s="3">
        <v>0.33333333333333331</v>
      </c>
      <c r="K2125" s="4"/>
      <c r="L2125" s="4"/>
      <c r="M2125" s="4"/>
      <c r="N2125" s="4"/>
      <c r="O2125" s="4"/>
      <c r="P2125" s="4"/>
    </row>
    <row r="2126" spans="1:16" x14ac:dyDescent="0.25">
      <c r="A2126" s="4" t="s">
        <v>246</v>
      </c>
      <c r="B2126" s="4" t="s">
        <v>25</v>
      </c>
      <c r="C2126" s="4" t="s">
        <v>25</v>
      </c>
      <c r="D2126" s="4" t="s">
        <v>25</v>
      </c>
      <c r="E2126" s="4" t="s">
        <v>25</v>
      </c>
      <c r="F2126" s="4"/>
      <c r="G2126" s="4"/>
      <c r="H2126" s="4"/>
      <c r="I2126" s="4"/>
      <c r="J2126" s="4"/>
      <c r="K2126" s="4"/>
      <c r="L2126" s="4"/>
      <c r="M2126" s="4"/>
      <c r="N2126" s="4"/>
      <c r="O2126" s="4"/>
      <c r="P2126" s="4"/>
    </row>
    <row r="2127" spans="1:16" x14ac:dyDescent="0.25">
      <c r="A2127" s="4" t="s">
        <v>247</v>
      </c>
      <c r="B2127" s="4" t="s">
        <v>25</v>
      </c>
      <c r="C2127" s="4" t="s">
        <v>25</v>
      </c>
      <c r="D2127" s="4" t="s">
        <v>25</v>
      </c>
      <c r="E2127" s="4" t="s">
        <v>25</v>
      </c>
      <c r="F2127" s="4"/>
      <c r="G2127" s="4"/>
      <c r="H2127" s="4"/>
      <c r="I2127" s="4"/>
      <c r="J2127" s="4"/>
      <c r="K2127" s="4"/>
      <c r="L2127" s="4"/>
      <c r="M2127" s="4"/>
      <c r="N2127" s="4"/>
      <c r="O2127" s="4"/>
      <c r="P2127" s="4"/>
    </row>
    <row r="2128" spans="1:16" x14ac:dyDescent="0.25">
      <c r="A2128" s="4" t="s">
        <v>248</v>
      </c>
      <c r="B2128" s="4" t="s">
        <v>52</v>
      </c>
      <c r="C2128" s="4" t="s">
        <v>52</v>
      </c>
      <c r="D2128" s="4" t="s">
        <v>52</v>
      </c>
      <c r="E2128" s="4" t="s">
        <v>52</v>
      </c>
      <c r="F2128" s="4"/>
      <c r="G2128" s="4"/>
      <c r="H2128" s="3">
        <v>0.375</v>
      </c>
      <c r="I2128" s="3">
        <v>0.375</v>
      </c>
      <c r="J2128" s="3">
        <v>0.375</v>
      </c>
      <c r="K2128" s="4"/>
      <c r="L2128" s="4"/>
      <c r="M2128" s="4"/>
      <c r="N2128" s="4"/>
      <c r="O2128" s="4"/>
      <c r="P2128" s="4"/>
    </row>
    <row r="2129" spans="1:16" x14ac:dyDescent="0.25">
      <c r="A2129" s="4" t="s">
        <v>249</v>
      </c>
      <c r="B2129" s="4" t="s">
        <v>52</v>
      </c>
      <c r="C2129" s="4" t="s">
        <v>52</v>
      </c>
      <c r="D2129" s="4" t="s">
        <v>52</v>
      </c>
      <c r="E2129" s="4" t="s">
        <v>52</v>
      </c>
      <c r="F2129" s="4"/>
      <c r="G2129" s="4"/>
      <c r="H2129" s="3">
        <v>0.375</v>
      </c>
      <c r="I2129" s="3">
        <v>0.375</v>
      </c>
      <c r="J2129" s="3">
        <v>0.375</v>
      </c>
      <c r="K2129" s="4"/>
      <c r="L2129" s="4"/>
      <c r="M2129" s="4"/>
      <c r="N2129" s="4"/>
      <c r="O2129" s="4"/>
      <c r="P2129" s="4"/>
    </row>
    <row r="2130" spans="1:16" x14ac:dyDescent="0.25">
      <c r="A2130" s="4" t="s">
        <v>251</v>
      </c>
      <c r="B2130" s="4" t="s">
        <v>52</v>
      </c>
      <c r="C2130" s="4" t="s">
        <v>52</v>
      </c>
      <c r="D2130" s="4" t="s">
        <v>52</v>
      </c>
      <c r="E2130" s="4" t="s">
        <v>52</v>
      </c>
      <c r="F2130" s="4"/>
      <c r="G2130" s="4"/>
      <c r="H2130" s="3">
        <v>0.375</v>
      </c>
      <c r="I2130" s="3">
        <v>0.375</v>
      </c>
      <c r="J2130" s="3">
        <v>0.375</v>
      </c>
      <c r="K2130" s="4"/>
      <c r="L2130" s="4"/>
      <c r="M2130" s="4"/>
      <c r="N2130" s="4"/>
      <c r="O2130" s="4"/>
      <c r="P2130" s="4"/>
    </row>
    <row r="2131" spans="1:16" x14ac:dyDescent="0.25">
      <c r="A2131" s="4" t="s">
        <v>256</v>
      </c>
      <c r="B2131" s="4" t="s">
        <v>52</v>
      </c>
      <c r="C2131" s="4" t="s">
        <v>52</v>
      </c>
      <c r="D2131" s="4" t="s">
        <v>52</v>
      </c>
      <c r="E2131" s="4" t="s">
        <v>52</v>
      </c>
      <c r="F2131" s="4"/>
      <c r="G2131" s="4"/>
      <c r="H2131" s="3">
        <v>0.375</v>
      </c>
      <c r="I2131" s="3">
        <v>0.375</v>
      </c>
      <c r="J2131" s="3">
        <v>0.375</v>
      </c>
      <c r="K2131" s="4"/>
      <c r="L2131" s="4"/>
      <c r="M2131" s="4"/>
      <c r="N2131" s="4"/>
      <c r="O2131" s="4"/>
      <c r="P2131" s="4"/>
    </row>
    <row r="2132" spans="1:16" x14ac:dyDescent="0.25">
      <c r="A2132" s="4" t="s">
        <v>259</v>
      </c>
      <c r="B2132" s="4" t="s">
        <v>52</v>
      </c>
      <c r="C2132" s="4" t="s">
        <v>52</v>
      </c>
      <c r="D2132" s="4" t="s">
        <v>52</v>
      </c>
      <c r="E2132" s="4" t="s">
        <v>52</v>
      </c>
      <c r="F2132" s="4"/>
      <c r="G2132" s="4"/>
      <c r="H2132" s="3">
        <v>0.33333333333333331</v>
      </c>
      <c r="I2132" s="3">
        <v>0.33333333333333331</v>
      </c>
      <c r="J2132" s="3">
        <v>0.33333333333333331</v>
      </c>
      <c r="K2132" s="4"/>
      <c r="L2132" s="4"/>
      <c r="M2132" s="4"/>
      <c r="N2132" s="4"/>
      <c r="O2132" s="4"/>
      <c r="P2132" s="4"/>
    </row>
    <row r="2133" spans="1:16" x14ac:dyDescent="0.25">
      <c r="A2133" s="4" t="s">
        <v>260</v>
      </c>
      <c r="B2133" s="4" t="s">
        <v>25</v>
      </c>
      <c r="C2133" s="4" t="s">
        <v>25</v>
      </c>
      <c r="D2133" s="4" t="s">
        <v>25</v>
      </c>
      <c r="E2133" s="4" t="s">
        <v>25</v>
      </c>
      <c r="F2133" s="4"/>
      <c r="G2133" s="4"/>
      <c r="H2133" s="4"/>
      <c r="I2133" s="4"/>
      <c r="J2133" s="4"/>
      <c r="K2133" s="4"/>
      <c r="L2133" s="4"/>
      <c r="M2133" s="4"/>
      <c r="N2133" s="4"/>
      <c r="O2133" s="4"/>
      <c r="P2133" s="4"/>
    </row>
    <row r="2134" spans="1:16" x14ac:dyDescent="0.25">
      <c r="A2134" s="4" t="s">
        <v>261</v>
      </c>
      <c r="B2134" s="4" t="s">
        <v>25</v>
      </c>
      <c r="C2134" s="4" t="s">
        <v>25</v>
      </c>
      <c r="D2134" s="4" t="s">
        <v>25</v>
      </c>
      <c r="E2134" s="4" t="s">
        <v>25</v>
      </c>
      <c r="F2134" s="4"/>
      <c r="G2134" s="4"/>
      <c r="H2134" s="4"/>
      <c r="I2134" s="4"/>
      <c r="J2134" s="4"/>
      <c r="K2134" s="4"/>
      <c r="L2134" s="4"/>
      <c r="M2134" s="4"/>
      <c r="N2134" s="4"/>
      <c r="O2134" s="4"/>
      <c r="P2134" s="4"/>
    </row>
    <row r="2135" spans="1:16" x14ac:dyDescent="0.25">
      <c r="A2135" s="4" t="s">
        <v>262</v>
      </c>
      <c r="B2135" s="4" t="s">
        <v>52</v>
      </c>
      <c r="C2135" s="4" t="s">
        <v>52</v>
      </c>
      <c r="D2135" s="4" t="s">
        <v>52</v>
      </c>
      <c r="E2135" s="4" t="s">
        <v>52</v>
      </c>
      <c r="F2135" s="4"/>
      <c r="G2135" s="4"/>
      <c r="H2135" s="3">
        <v>0.375</v>
      </c>
      <c r="I2135" s="3">
        <v>0.375</v>
      </c>
      <c r="J2135" s="3">
        <v>0.375</v>
      </c>
      <c r="K2135" s="4"/>
      <c r="L2135" s="4"/>
      <c r="M2135" s="4"/>
      <c r="N2135" s="4"/>
      <c r="O2135" s="4"/>
      <c r="P2135" s="4"/>
    </row>
    <row r="2136" spans="1:16" x14ac:dyDescent="0.25">
      <c r="A2136" s="4" t="s">
        <v>263</v>
      </c>
      <c r="B2136" s="4" t="s">
        <v>252</v>
      </c>
      <c r="C2136" s="3">
        <v>0.5083333333333333</v>
      </c>
      <c r="D2136" s="3">
        <v>0.55069444444444449</v>
      </c>
      <c r="E2136" s="3">
        <v>0.79236111111111107</v>
      </c>
      <c r="F2136" s="4"/>
      <c r="G2136" s="4"/>
      <c r="H2136" s="3">
        <v>0.375</v>
      </c>
      <c r="I2136" s="3">
        <v>0.375</v>
      </c>
      <c r="J2136" s="4"/>
      <c r="K2136" s="4"/>
      <c r="L2136" s="4"/>
      <c r="M2136" s="4"/>
      <c r="N2136" s="4"/>
      <c r="O2136" s="4"/>
      <c r="P2136" s="4"/>
    </row>
    <row r="2137" spans="1:16" x14ac:dyDescent="0.25">
      <c r="A2137" s="4" t="s">
        <v>264</v>
      </c>
      <c r="B2137" s="3">
        <v>0.37291666666666662</v>
      </c>
      <c r="C2137" s="3">
        <v>0.61805555555555558</v>
      </c>
      <c r="D2137" s="3">
        <v>0.65763888888888888</v>
      </c>
      <c r="E2137" s="3">
        <v>0.79027777777777775</v>
      </c>
      <c r="F2137" s="4"/>
      <c r="G2137" s="4"/>
      <c r="H2137" s="3">
        <v>0.375</v>
      </c>
      <c r="I2137" s="3">
        <v>0.375</v>
      </c>
      <c r="J2137" s="4"/>
      <c r="K2137" s="4"/>
      <c r="L2137" s="4"/>
      <c r="M2137" s="4"/>
      <c r="N2137" s="4"/>
      <c r="O2137" s="4"/>
      <c r="P2137" s="4"/>
    </row>
    <row r="2139" spans="1:16" x14ac:dyDescent="0.25">
      <c r="A2139" s="7" t="s">
        <v>45</v>
      </c>
    </row>
    <row r="2142" spans="1:16" x14ac:dyDescent="0.25">
      <c r="A2142" s="7" t="s">
        <v>46</v>
      </c>
    </row>
    <row r="2143" spans="1:16" x14ac:dyDescent="0.25">
      <c r="A2143" s="7" t="s">
        <v>294</v>
      </c>
      <c r="F2143" s="7" t="s">
        <v>47</v>
      </c>
    </row>
    <row r="2144" spans="1:16" x14ac:dyDescent="0.25">
      <c r="F2144" s="7"/>
    </row>
    <row r="2148" spans="1:16" x14ac:dyDescent="0.25">
      <c r="G2148" s="1" t="s">
        <v>18</v>
      </c>
    </row>
    <row r="2149" spans="1:16" x14ac:dyDescent="0.25">
      <c r="A2149" s="1" t="s">
        <v>1</v>
      </c>
      <c r="B2149" t="s">
        <v>2</v>
      </c>
      <c r="H2149" s="1" t="s">
        <v>19</v>
      </c>
      <c r="I2149" s="1" t="s">
        <v>20</v>
      </c>
      <c r="J2149" s="1" t="s">
        <v>21</v>
      </c>
      <c r="K2149" s="1" t="s">
        <v>22</v>
      </c>
      <c r="L2149" s="1" t="s">
        <v>23</v>
      </c>
      <c r="M2149" s="1" t="s">
        <v>24</v>
      </c>
    </row>
    <row r="2150" spans="1:16" x14ac:dyDescent="0.25">
      <c r="A2150" s="1" t="s">
        <v>3</v>
      </c>
      <c r="B2150" t="s">
        <v>4</v>
      </c>
      <c r="G2150" s="1" t="s">
        <v>220</v>
      </c>
      <c r="H2150" s="3">
        <v>0.33333333333333331</v>
      </c>
      <c r="I2150" s="3">
        <v>0.5</v>
      </c>
      <c r="J2150" s="3">
        <v>0.54166666666666663</v>
      </c>
      <c r="K2150" s="3">
        <v>0.70833333333333337</v>
      </c>
      <c r="L2150" s="4"/>
      <c r="M2150" s="4"/>
    </row>
    <row r="2151" spans="1:16" x14ac:dyDescent="0.25">
      <c r="A2151" s="1" t="s">
        <v>5</v>
      </c>
      <c r="B2151" t="s">
        <v>6</v>
      </c>
      <c r="G2151" s="1" t="s">
        <v>221</v>
      </c>
      <c r="H2151" s="3">
        <v>0.33333333333333331</v>
      </c>
      <c r="I2151" s="3">
        <v>0.5</v>
      </c>
      <c r="J2151" s="3">
        <v>0.54166666666666663</v>
      </c>
      <c r="K2151" s="3">
        <v>0.75</v>
      </c>
      <c r="L2151" s="4"/>
      <c r="M2151" s="4"/>
    </row>
    <row r="2152" spans="1:16" x14ac:dyDescent="0.25">
      <c r="G2152" s="1" t="s">
        <v>222</v>
      </c>
      <c r="H2152" s="3">
        <v>0.33333333333333331</v>
      </c>
      <c r="I2152" s="3">
        <v>0.5</v>
      </c>
      <c r="J2152" s="3">
        <v>0.54166666666666663</v>
      </c>
      <c r="K2152" s="3">
        <v>0.75</v>
      </c>
      <c r="L2152" s="4"/>
      <c r="M2152" s="4"/>
    </row>
    <row r="2153" spans="1:16" x14ac:dyDescent="0.25">
      <c r="A2153" s="1" t="s">
        <v>7</v>
      </c>
      <c r="B2153" t="s">
        <v>118</v>
      </c>
      <c r="G2153" s="1" t="s">
        <v>223</v>
      </c>
      <c r="H2153" s="3">
        <v>0.33333333333333331</v>
      </c>
      <c r="I2153" s="3">
        <v>0.5</v>
      </c>
      <c r="J2153" s="3">
        <v>0.54166666666666663</v>
      </c>
      <c r="K2153" s="3">
        <v>0.75</v>
      </c>
      <c r="L2153" s="4"/>
      <c r="M2153" s="4"/>
    </row>
    <row r="2154" spans="1:16" x14ac:dyDescent="0.25">
      <c r="A2154" s="1" t="s">
        <v>9</v>
      </c>
      <c r="B2154" t="s">
        <v>119</v>
      </c>
      <c r="D2154" s="1" t="s">
        <v>11</v>
      </c>
      <c r="E2154" t="s">
        <v>119</v>
      </c>
      <c r="G2154" s="1" t="s">
        <v>224</v>
      </c>
      <c r="H2154" s="3">
        <v>0.33333333333333331</v>
      </c>
      <c r="I2154" s="3">
        <v>0.5</v>
      </c>
      <c r="J2154" s="3">
        <v>0.54166666666666663</v>
      </c>
      <c r="K2154" s="3">
        <v>0.75</v>
      </c>
      <c r="L2154" s="4"/>
      <c r="M2154" s="4"/>
    </row>
    <row r="2155" spans="1:16" x14ac:dyDescent="0.25">
      <c r="A2155" s="1" t="s">
        <v>12</v>
      </c>
      <c r="D2155" s="1" t="s">
        <v>13</v>
      </c>
      <c r="E2155" s="2">
        <v>42506</v>
      </c>
      <c r="G2155" s="1" t="s">
        <v>225</v>
      </c>
      <c r="H2155" s="4" t="s">
        <v>25</v>
      </c>
      <c r="I2155" s="4" t="s">
        <v>25</v>
      </c>
      <c r="J2155" s="4" t="s">
        <v>25</v>
      </c>
      <c r="K2155" s="4" t="s">
        <v>25</v>
      </c>
      <c r="L2155" s="4" t="s">
        <v>25</v>
      </c>
      <c r="M2155" s="4" t="s">
        <v>25</v>
      </c>
    </row>
    <row r="2156" spans="1:16" x14ac:dyDescent="0.25">
      <c r="A2156" s="1" t="s">
        <v>14</v>
      </c>
      <c r="B2156" t="s">
        <v>58</v>
      </c>
      <c r="G2156" s="1" t="s">
        <v>226</v>
      </c>
      <c r="H2156" s="4" t="s">
        <v>25</v>
      </c>
      <c r="I2156" s="4" t="s">
        <v>25</v>
      </c>
      <c r="J2156" s="4" t="s">
        <v>25</v>
      </c>
      <c r="K2156" s="4" t="s">
        <v>25</v>
      </c>
      <c r="L2156" s="4" t="s">
        <v>25</v>
      </c>
      <c r="M2156" s="4" t="s">
        <v>25</v>
      </c>
    </row>
    <row r="2157" spans="1:16" x14ac:dyDescent="0.25">
      <c r="A2157" s="1" t="s">
        <v>16</v>
      </c>
      <c r="B2157" t="s">
        <v>17</v>
      </c>
    </row>
    <row r="2160" spans="1:16" x14ac:dyDescent="0.25">
      <c r="A2160" s="5" t="s">
        <v>26</v>
      </c>
      <c r="B2160" s="5" t="s">
        <v>27</v>
      </c>
      <c r="C2160" s="5" t="s">
        <v>28</v>
      </c>
      <c r="D2160" s="5" t="s">
        <v>29</v>
      </c>
      <c r="E2160" s="5" t="s">
        <v>30</v>
      </c>
      <c r="F2160" s="5" t="s">
        <v>31</v>
      </c>
      <c r="G2160" s="5" t="s">
        <v>32</v>
      </c>
      <c r="H2160" s="5" t="s">
        <v>33</v>
      </c>
      <c r="I2160" s="5" t="s">
        <v>34</v>
      </c>
      <c r="J2160" s="5" t="s">
        <v>35</v>
      </c>
      <c r="K2160" s="5" t="s">
        <v>36</v>
      </c>
      <c r="L2160" s="5" t="s">
        <v>37</v>
      </c>
      <c r="M2160" s="5" t="s">
        <v>38</v>
      </c>
      <c r="N2160" s="5" t="s">
        <v>39</v>
      </c>
      <c r="O2160" s="5" t="s">
        <v>40</v>
      </c>
      <c r="P2160" s="5" t="s">
        <v>296</v>
      </c>
    </row>
    <row r="2161" spans="1:16" x14ac:dyDescent="0.25">
      <c r="A2161" s="4"/>
      <c r="B2161" s="4"/>
      <c r="C2161" s="4"/>
      <c r="D2161" s="4"/>
      <c r="E2161" s="4"/>
      <c r="F2161" s="4"/>
      <c r="G2161" s="4"/>
      <c r="H2161" s="6">
        <v>8.0416666666666661</v>
      </c>
      <c r="I2161" s="6">
        <v>7.9215277777777784</v>
      </c>
      <c r="J2161" s="6">
        <v>1.6645833333333335</v>
      </c>
      <c r="K2161" s="3">
        <v>0</v>
      </c>
      <c r="L2161" s="3">
        <v>0</v>
      </c>
      <c r="M2161" s="3">
        <v>0</v>
      </c>
      <c r="N2161" s="3">
        <v>0</v>
      </c>
      <c r="O2161" s="3">
        <v>0.12013888888888889</v>
      </c>
      <c r="P2161" s="3">
        <v>0.24097222222222223</v>
      </c>
    </row>
    <row r="2162" spans="1:16" x14ac:dyDescent="0.25">
      <c r="A2162" s="4" t="s">
        <v>227</v>
      </c>
      <c r="B2162" s="3">
        <v>0.32708333333333334</v>
      </c>
      <c r="C2162" s="3">
        <v>0.54375000000000007</v>
      </c>
      <c r="D2162" s="3">
        <v>0.58472222222222225</v>
      </c>
      <c r="E2162" s="3">
        <v>0.72152777777777777</v>
      </c>
      <c r="F2162" s="4"/>
      <c r="G2162" s="4"/>
      <c r="H2162" s="3">
        <v>0.33333333333333331</v>
      </c>
      <c r="I2162" s="3">
        <v>0.33333333333333331</v>
      </c>
      <c r="J2162" s="4"/>
      <c r="K2162" s="4"/>
      <c r="L2162" s="4"/>
      <c r="M2162" s="4"/>
      <c r="N2162" s="4"/>
      <c r="O2162" s="4"/>
      <c r="P2162" s="3">
        <v>2.013888888888889E-2</v>
      </c>
    </row>
    <row r="2163" spans="1:16" x14ac:dyDescent="0.25">
      <c r="A2163" s="4" t="s">
        <v>228</v>
      </c>
      <c r="B2163" s="3">
        <v>0.32916666666666666</v>
      </c>
      <c r="C2163" s="3">
        <v>0.51527777777777783</v>
      </c>
      <c r="D2163" s="3">
        <v>0.55208333333333337</v>
      </c>
      <c r="E2163" s="3">
        <v>0.76527777777777783</v>
      </c>
      <c r="F2163" s="4"/>
      <c r="G2163" s="4"/>
      <c r="H2163" s="3">
        <v>0.375</v>
      </c>
      <c r="I2163" s="3">
        <v>0.375</v>
      </c>
      <c r="J2163" s="4"/>
      <c r="K2163" s="4"/>
      <c r="L2163" s="4"/>
      <c r="M2163" s="4"/>
      <c r="N2163" s="4"/>
      <c r="O2163" s="4"/>
      <c r="P2163" s="3">
        <v>2.4305555555555556E-2</v>
      </c>
    </row>
    <row r="2164" spans="1:16" x14ac:dyDescent="0.25">
      <c r="A2164" s="4" t="s">
        <v>229</v>
      </c>
      <c r="B2164" s="3">
        <v>0.33124999999999999</v>
      </c>
      <c r="C2164" s="3">
        <v>0.52708333333333335</v>
      </c>
      <c r="D2164" s="3">
        <v>0.57638888888888895</v>
      </c>
      <c r="E2164" s="3">
        <v>0.76250000000000007</v>
      </c>
      <c r="F2164" s="4"/>
      <c r="G2164" s="4"/>
      <c r="H2164" s="3">
        <v>0.375</v>
      </c>
      <c r="I2164" s="3">
        <v>0.375</v>
      </c>
      <c r="J2164" s="4"/>
      <c r="K2164" s="4"/>
      <c r="L2164" s="4"/>
      <c r="M2164" s="4"/>
      <c r="N2164" s="4"/>
      <c r="O2164" s="4"/>
      <c r="P2164" s="4"/>
    </row>
    <row r="2165" spans="1:16" x14ac:dyDescent="0.25">
      <c r="A2165" s="4" t="s">
        <v>230</v>
      </c>
      <c r="B2165" s="3">
        <v>0.33055555555555555</v>
      </c>
      <c r="C2165" s="3">
        <v>0.53333333333333333</v>
      </c>
      <c r="D2165" s="3">
        <v>0.57291666666666663</v>
      </c>
      <c r="E2165" s="3">
        <v>0.75277777777777777</v>
      </c>
      <c r="F2165" s="4"/>
      <c r="G2165" s="4"/>
      <c r="H2165" s="3">
        <v>0.375</v>
      </c>
      <c r="I2165" s="3">
        <v>0.375</v>
      </c>
      <c r="J2165" s="4"/>
      <c r="K2165" s="4"/>
      <c r="L2165" s="4"/>
      <c r="M2165" s="4"/>
      <c r="N2165" s="4"/>
      <c r="O2165" s="4"/>
      <c r="P2165" s="4"/>
    </row>
    <row r="2166" spans="1:16" x14ac:dyDescent="0.25">
      <c r="A2166" s="4" t="s">
        <v>231</v>
      </c>
      <c r="B2166" s="3">
        <v>0.32916666666666666</v>
      </c>
      <c r="C2166" s="3">
        <v>0.5395833333333333</v>
      </c>
      <c r="D2166" s="3">
        <v>0.58402777777777781</v>
      </c>
      <c r="E2166" s="3">
        <v>0.75138888888888899</v>
      </c>
      <c r="F2166" s="4"/>
      <c r="G2166" s="4"/>
      <c r="H2166" s="3">
        <v>0.375</v>
      </c>
      <c r="I2166" s="3">
        <v>0.375</v>
      </c>
      <c r="J2166" s="4"/>
      <c r="K2166" s="4"/>
      <c r="L2166" s="4"/>
      <c r="M2166" s="4"/>
      <c r="N2166" s="4"/>
      <c r="O2166" s="4"/>
      <c r="P2166" s="4"/>
    </row>
    <row r="2167" spans="1:16" x14ac:dyDescent="0.25">
      <c r="A2167" s="4" t="s">
        <v>232</v>
      </c>
      <c r="B2167" s="4" t="s">
        <v>25</v>
      </c>
      <c r="C2167" s="4" t="s">
        <v>25</v>
      </c>
      <c r="D2167" s="4" t="s">
        <v>25</v>
      </c>
      <c r="E2167" s="4" t="s">
        <v>25</v>
      </c>
      <c r="F2167" s="4" t="s">
        <v>25</v>
      </c>
      <c r="G2167" s="4" t="s">
        <v>25</v>
      </c>
      <c r="H2167" s="4"/>
      <c r="I2167" s="4"/>
      <c r="J2167" s="4"/>
      <c r="K2167" s="4"/>
      <c r="L2167" s="4"/>
      <c r="M2167" s="4"/>
      <c r="N2167" s="4"/>
      <c r="O2167" s="4"/>
      <c r="P2167" s="4"/>
    </row>
    <row r="2168" spans="1:16" x14ac:dyDescent="0.25">
      <c r="A2168" s="4" t="s">
        <v>233</v>
      </c>
      <c r="B2168" s="4" t="s">
        <v>25</v>
      </c>
      <c r="C2168" s="4" t="s">
        <v>25</v>
      </c>
      <c r="D2168" s="4" t="s">
        <v>25</v>
      </c>
      <c r="E2168" s="4" t="s">
        <v>25</v>
      </c>
      <c r="F2168" s="4" t="s">
        <v>25</v>
      </c>
      <c r="G2168" s="4" t="s">
        <v>25</v>
      </c>
      <c r="H2168" s="4"/>
      <c r="I2168" s="4"/>
      <c r="J2168" s="4"/>
      <c r="K2168" s="4"/>
      <c r="L2168" s="4"/>
      <c r="M2168" s="4"/>
      <c r="N2168" s="4"/>
      <c r="O2168" s="4"/>
      <c r="P2168" s="4"/>
    </row>
    <row r="2169" spans="1:16" x14ac:dyDescent="0.25">
      <c r="A2169" s="4" t="s">
        <v>234</v>
      </c>
      <c r="B2169" s="3">
        <v>0.3354166666666667</v>
      </c>
      <c r="C2169" s="3">
        <v>0.52361111111111114</v>
      </c>
      <c r="D2169" s="3">
        <v>0.57152777777777775</v>
      </c>
      <c r="E2169" s="3">
        <v>0.72083333333333333</v>
      </c>
      <c r="F2169" s="4"/>
      <c r="G2169" s="4"/>
      <c r="H2169" s="3">
        <v>0.33333333333333331</v>
      </c>
      <c r="I2169" s="3">
        <v>0.33333333333333331</v>
      </c>
      <c r="J2169" s="4"/>
      <c r="K2169" s="4"/>
      <c r="L2169" s="4"/>
      <c r="M2169" s="4"/>
      <c r="N2169" s="4"/>
      <c r="O2169" s="4"/>
      <c r="P2169" s="4"/>
    </row>
    <row r="2170" spans="1:16" x14ac:dyDescent="0.25">
      <c r="A2170" s="4" t="s">
        <v>235</v>
      </c>
      <c r="B2170" s="3">
        <v>0.32847222222222222</v>
      </c>
      <c r="C2170" s="3">
        <v>0.56597222222222221</v>
      </c>
      <c r="D2170" s="3">
        <v>0.60833333333333328</v>
      </c>
      <c r="E2170" s="3">
        <v>0.75138888888888899</v>
      </c>
      <c r="F2170" s="4"/>
      <c r="G2170" s="4"/>
      <c r="H2170" s="3">
        <v>0.375</v>
      </c>
      <c r="I2170" s="3">
        <v>0.375</v>
      </c>
      <c r="J2170" s="4"/>
      <c r="K2170" s="4"/>
      <c r="L2170" s="4"/>
      <c r="M2170" s="4"/>
      <c r="N2170" s="4"/>
      <c r="O2170" s="4"/>
      <c r="P2170" s="4"/>
    </row>
    <row r="2171" spans="1:16" x14ac:dyDescent="0.25">
      <c r="A2171" s="4" t="s">
        <v>236</v>
      </c>
      <c r="B2171" s="3">
        <v>0.3298611111111111</v>
      </c>
      <c r="C2171" s="3">
        <v>0.7583333333333333</v>
      </c>
      <c r="D2171" s="4"/>
      <c r="E2171" s="4"/>
      <c r="F2171" s="4"/>
      <c r="G2171" s="4"/>
      <c r="H2171" s="3">
        <v>0.375</v>
      </c>
      <c r="I2171" s="3">
        <v>0.375</v>
      </c>
      <c r="J2171" s="4"/>
      <c r="K2171" s="4"/>
      <c r="L2171" s="4"/>
      <c r="M2171" s="4"/>
      <c r="N2171" s="4"/>
      <c r="O2171" s="4"/>
      <c r="P2171" s="3">
        <v>4.9999999999999996E-2</v>
      </c>
    </row>
    <row r="2172" spans="1:16" x14ac:dyDescent="0.25">
      <c r="A2172" s="4" t="s">
        <v>237</v>
      </c>
      <c r="B2172" s="3">
        <v>0.34930555555555554</v>
      </c>
      <c r="C2172" s="3">
        <v>0.53402777777777777</v>
      </c>
      <c r="D2172" s="3">
        <v>0.57708333333333328</v>
      </c>
      <c r="E2172" s="3">
        <v>0.76874999999999993</v>
      </c>
      <c r="F2172" s="4"/>
      <c r="G2172" s="4"/>
      <c r="H2172" s="3">
        <v>0.375</v>
      </c>
      <c r="I2172" s="3">
        <v>0.375</v>
      </c>
      <c r="J2172" s="4"/>
      <c r="K2172" s="4"/>
      <c r="L2172" s="4"/>
      <c r="M2172" s="4"/>
      <c r="N2172" s="4"/>
      <c r="O2172" s="4"/>
      <c r="P2172" s="4"/>
    </row>
    <row r="2173" spans="1:16" x14ac:dyDescent="0.25">
      <c r="A2173" s="4" t="s">
        <v>238</v>
      </c>
      <c r="B2173" s="3">
        <v>0.3298611111111111</v>
      </c>
      <c r="C2173" s="3">
        <v>0.53680555555555554</v>
      </c>
      <c r="D2173" s="3">
        <v>0.58263888888888882</v>
      </c>
      <c r="E2173" s="3">
        <v>0.85833333333333339</v>
      </c>
      <c r="F2173" s="4"/>
      <c r="G2173" s="4"/>
      <c r="H2173" s="3">
        <v>0.375</v>
      </c>
      <c r="I2173" s="3">
        <v>0.375</v>
      </c>
      <c r="J2173" s="4"/>
      <c r="K2173" s="4"/>
      <c r="L2173" s="4"/>
      <c r="M2173" s="4"/>
      <c r="N2173" s="4"/>
      <c r="O2173" s="4"/>
      <c r="P2173" s="3">
        <v>0.10416666666666667</v>
      </c>
    </row>
    <row r="2174" spans="1:16" x14ac:dyDescent="0.25">
      <c r="A2174" s="4" t="s">
        <v>239</v>
      </c>
      <c r="B2174" s="4" t="s">
        <v>25</v>
      </c>
      <c r="C2174" s="4" t="s">
        <v>25</v>
      </c>
      <c r="D2174" s="4" t="s">
        <v>25</v>
      </c>
      <c r="E2174" s="4" t="s">
        <v>25</v>
      </c>
      <c r="F2174" s="4" t="s">
        <v>25</v>
      </c>
      <c r="G2174" s="4" t="s">
        <v>25</v>
      </c>
      <c r="H2174" s="4"/>
      <c r="I2174" s="4"/>
      <c r="J2174" s="4"/>
      <c r="K2174" s="4"/>
      <c r="L2174" s="4"/>
      <c r="M2174" s="4"/>
      <c r="N2174" s="4"/>
      <c r="O2174" s="4"/>
      <c r="P2174" s="4"/>
    </row>
    <row r="2175" spans="1:16" x14ac:dyDescent="0.25">
      <c r="A2175" s="4" t="s">
        <v>240</v>
      </c>
      <c r="B2175" s="4" t="s">
        <v>25</v>
      </c>
      <c r="C2175" s="4" t="s">
        <v>25</v>
      </c>
      <c r="D2175" s="4" t="s">
        <v>25</v>
      </c>
      <c r="E2175" s="4" t="s">
        <v>25</v>
      </c>
      <c r="F2175" s="4" t="s">
        <v>25</v>
      </c>
      <c r="G2175" s="4" t="s">
        <v>25</v>
      </c>
      <c r="H2175" s="4"/>
      <c r="I2175" s="4"/>
      <c r="J2175" s="4"/>
      <c r="K2175" s="4"/>
      <c r="L2175" s="4"/>
      <c r="M2175" s="4"/>
      <c r="N2175" s="4"/>
      <c r="O2175" s="4"/>
      <c r="P2175" s="4"/>
    </row>
    <row r="2176" spans="1:16" x14ac:dyDescent="0.25">
      <c r="A2176" s="4" t="s">
        <v>241</v>
      </c>
      <c r="B2176" s="3">
        <v>0.33402777777777781</v>
      </c>
      <c r="C2176" s="3">
        <v>0.55069444444444449</v>
      </c>
      <c r="D2176" s="3">
        <v>0.58194444444444449</v>
      </c>
      <c r="E2176" s="3">
        <v>0.71388888888888891</v>
      </c>
      <c r="F2176" s="4"/>
      <c r="G2176" s="4"/>
      <c r="H2176" s="3">
        <v>0.33333333333333331</v>
      </c>
      <c r="I2176" s="3">
        <v>0.33333333333333331</v>
      </c>
      <c r="J2176" s="4"/>
      <c r="K2176" s="4"/>
      <c r="L2176" s="4"/>
      <c r="M2176" s="4"/>
      <c r="N2176" s="4"/>
      <c r="O2176" s="4"/>
      <c r="P2176" s="3">
        <v>1.5972222222222224E-2</v>
      </c>
    </row>
    <row r="2177" spans="1:16" x14ac:dyDescent="0.25">
      <c r="A2177" s="4" t="s">
        <v>242</v>
      </c>
      <c r="B2177" s="3">
        <v>0.33055555555555555</v>
      </c>
      <c r="C2177" s="3">
        <v>0.57222222222222219</v>
      </c>
      <c r="D2177" s="4" t="s">
        <v>52</v>
      </c>
      <c r="E2177" s="4" t="s">
        <v>52</v>
      </c>
      <c r="F2177" s="4"/>
      <c r="G2177" s="4"/>
      <c r="H2177" s="3">
        <v>0.375</v>
      </c>
      <c r="I2177" s="3">
        <v>0.375</v>
      </c>
      <c r="J2177" s="3">
        <v>0.1361111111111111</v>
      </c>
      <c r="K2177" s="4"/>
      <c r="L2177" s="4"/>
      <c r="M2177" s="4"/>
      <c r="N2177" s="4"/>
      <c r="O2177" s="4"/>
      <c r="P2177" s="4"/>
    </row>
    <row r="2178" spans="1:16" x14ac:dyDescent="0.25">
      <c r="A2178" s="4" t="s">
        <v>243</v>
      </c>
      <c r="B2178" s="3">
        <v>0.33333333333333331</v>
      </c>
      <c r="C2178" s="3">
        <v>0.55833333333333335</v>
      </c>
      <c r="D2178" s="3">
        <v>0.61319444444444449</v>
      </c>
      <c r="E2178" s="3">
        <v>0.78125</v>
      </c>
      <c r="F2178" s="4"/>
      <c r="G2178" s="4"/>
      <c r="H2178" s="3">
        <v>0.375</v>
      </c>
      <c r="I2178" s="3">
        <v>0.375</v>
      </c>
      <c r="J2178" s="4"/>
      <c r="K2178" s="4"/>
      <c r="L2178" s="4"/>
      <c r="M2178" s="4"/>
      <c r="N2178" s="4"/>
      <c r="O2178" s="4"/>
      <c r="P2178" s="3">
        <v>1.8055555555555557E-2</v>
      </c>
    </row>
    <row r="2179" spans="1:16" x14ac:dyDescent="0.25">
      <c r="A2179" s="4" t="s">
        <v>244</v>
      </c>
      <c r="B2179" s="4" t="s">
        <v>265</v>
      </c>
      <c r="C2179" s="4" t="s">
        <v>265</v>
      </c>
      <c r="D2179" s="4" t="s">
        <v>265</v>
      </c>
      <c r="E2179" s="4" t="s">
        <v>265</v>
      </c>
      <c r="F2179" s="4"/>
      <c r="G2179" s="4"/>
      <c r="H2179" s="4"/>
      <c r="I2179" s="4"/>
      <c r="J2179" s="4"/>
      <c r="K2179" s="4"/>
      <c r="L2179" s="4"/>
      <c r="M2179" s="4"/>
      <c r="N2179" s="4"/>
      <c r="O2179" s="4"/>
      <c r="P2179" s="4"/>
    </row>
    <row r="2180" spans="1:16" x14ac:dyDescent="0.25">
      <c r="A2180" s="4" t="s">
        <v>245</v>
      </c>
      <c r="B2180" s="4" t="s">
        <v>265</v>
      </c>
      <c r="C2180" s="4" t="s">
        <v>265</v>
      </c>
      <c r="D2180" s="4" t="s">
        <v>265</v>
      </c>
      <c r="E2180" s="4" t="s">
        <v>265</v>
      </c>
      <c r="F2180" s="4"/>
      <c r="G2180" s="4"/>
      <c r="H2180" s="3">
        <v>0.375</v>
      </c>
      <c r="I2180" s="3">
        <v>0.375</v>
      </c>
      <c r="J2180" s="3">
        <v>0.375</v>
      </c>
      <c r="K2180" s="4"/>
      <c r="L2180" s="4"/>
      <c r="M2180" s="4"/>
      <c r="N2180" s="4"/>
      <c r="O2180" s="4"/>
      <c r="P2180" s="4"/>
    </row>
    <row r="2181" spans="1:16" x14ac:dyDescent="0.25">
      <c r="A2181" s="4" t="s">
        <v>246</v>
      </c>
      <c r="B2181" s="4" t="s">
        <v>25</v>
      </c>
      <c r="C2181" s="4" t="s">
        <v>25</v>
      </c>
      <c r="D2181" s="4" t="s">
        <v>25</v>
      </c>
      <c r="E2181" s="4" t="s">
        <v>25</v>
      </c>
      <c r="F2181" s="4" t="s">
        <v>25</v>
      </c>
      <c r="G2181" s="4" t="s">
        <v>25</v>
      </c>
      <c r="H2181" s="4"/>
      <c r="I2181" s="4"/>
      <c r="J2181" s="4"/>
      <c r="K2181" s="4"/>
      <c r="L2181" s="4"/>
      <c r="M2181" s="4"/>
      <c r="N2181" s="4"/>
      <c r="O2181" s="4"/>
      <c r="P2181" s="4"/>
    </row>
    <row r="2182" spans="1:16" x14ac:dyDescent="0.25">
      <c r="A2182" s="4" t="s">
        <v>247</v>
      </c>
      <c r="B2182" s="4" t="s">
        <v>25</v>
      </c>
      <c r="C2182" s="4" t="s">
        <v>25</v>
      </c>
      <c r="D2182" s="4" t="s">
        <v>25</v>
      </c>
      <c r="E2182" s="4" t="s">
        <v>25</v>
      </c>
      <c r="F2182" s="4" t="s">
        <v>25</v>
      </c>
      <c r="G2182" s="4" t="s">
        <v>25</v>
      </c>
      <c r="H2182" s="4"/>
      <c r="I2182" s="4"/>
      <c r="J2182" s="4"/>
      <c r="K2182" s="4"/>
      <c r="L2182" s="4"/>
      <c r="M2182" s="4"/>
      <c r="N2182" s="4"/>
      <c r="O2182" s="4"/>
      <c r="P2182" s="4"/>
    </row>
    <row r="2183" spans="1:16" x14ac:dyDescent="0.25">
      <c r="A2183" s="4" t="s">
        <v>248</v>
      </c>
      <c r="B2183" s="3">
        <v>0.32847222222222222</v>
      </c>
      <c r="C2183" s="3">
        <v>0.53263888888888888</v>
      </c>
      <c r="D2183" s="3">
        <v>0.57361111111111118</v>
      </c>
      <c r="E2183" s="3">
        <v>0.71180555555555547</v>
      </c>
      <c r="F2183" s="4"/>
      <c r="G2183" s="4"/>
      <c r="H2183" s="3">
        <v>0.33333333333333331</v>
      </c>
      <c r="I2183" s="3">
        <v>0.33333333333333331</v>
      </c>
      <c r="J2183" s="4"/>
      <c r="K2183" s="4"/>
      <c r="L2183" s="4"/>
      <c r="M2183" s="4"/>
      <c r="N2183" s="4"/>
      <c r="O2183" s="4"/>
      <c r="P2183" s="4"/>
    </row>
    <row r="2184" spans="1:16" x14ac:dyDescent="0.25">
      <c r="A2184" s="4" t="s">
        <v>249</v>
      </c>
      <c r="B2184" s="3">
        <v>0.33055555555555555</v>
      </c>
      <c r="C2184" s="3">
        <v>0.55972222222222223</v>
      </c>
      <c r="D2184" s="4" t="s">
        <v>52</v>
      </c>
      <c r="E2184" s="4" t="s">
        <v>52</v>
      </c>
      <c r="F2184" s="4"/>
      <c r="G2184" s="4"/>
      <c r="H2184" s="3">
        <v>0.375</v>
      </c>
      <c r="I2184" s="3">
        <v>0.375</v>
      </c>
      <c r="J2184" s="3">
        <v>0.14861111111111111</v>
      </c>
      <c r="K2184" s="4"/>
      <c r="L2184" s="4"/>
      <c r="M2184" s="4"/>
      <c r="N2184" s="4"/>
      <c r="O2184" s="4"/>
      <c r="P2184" s="4"/>
    </row>
    <row r="2185" spans="1:16" x14ac:dyDescent="0.25">
      <c r="A2185" s="4" t="s">
        <v>251</v>
      </c>
      <c r="B2185" s="4" t="s">
        <v>52</v>
      </c>
      <c r="C2185" s="4" t="s">
        <v>52</v>
      </c>
      <c r="D2185" s="4" t="s">
        <v>52</v>
      </c>
      <c r="E2185" s="4" t="s">
        <v>52</v>
      </c>
      <c r="F2185" s="4"/>
      <c r="G2185" s="4"/>
      <c r="H2185" s="3">
        <v>0.375</v>
      </c>
      <c r="I2185" s="3">
        <v>0.375</v>
      </c>
      <c r="J2185" s="3">
        <v>0.375</v>
      </c>
      <c r="K2185" s="4"/>
      <c r="L2185" s="4"/>
      <c r="M2185" s="4"/>
      <c r="N2185" s="4"/>
      <c r="O2185" s="4"/>
      <c r="P2185" s="4"/>
    </row>
    <row r="2186" spans="1:16" x14ac:dyDescent="0.25">
      <c r="A2186" s="4" t="s">
        <v>256</v>
      </c>
      <c r="B2186" s="4" t="s">
        <v>52</v>
      </c>
      <c r="C2186" s="4" t="s">
        <v>52</v>
      </c>
      <c r="D2186" s="4" t="s">
        <v>52</v>
      </c>
      <c r="E2186" s="4" t="s">
        <v>52</v>
      </c>
      <c r="F2186" s="4"/>
      <c r="G2186" s="4"/>
      <c r="H2186" s="3">
        <v>0.375</v>
      </c>
      <c r="I2186" s="3">
        <v>0.375</v>
      </c>
      <c r="J2186" s="3">
        <v>0.375</v>
      </c>
      <c r="K2186" s="4"/>
      <c r="L2186" s="4"/>
      <c r="M2186" s="4"/>
      <c r="N2186" s="4"/>
      <c r="O2186" s="4"/>
      <c r="P2186" s="4"/>
    </row>
    <row r="2187" spans="1:16" x14ac:dyDescent="0.25">
      <c r="A2187" s="4" t="s">
        <v>259</v>
      </c>
      <c r="B2187" s="4" t="s">
        <v>52</v>
      </c>
      <c r="C2187" s="4" t="s">
        <v>52</v>
      </c>
      <c r="D2187" s="3">
        <v>0.62986111111111109</v>
      </c>
      <c r="E2187" s="4"/>
      <c r="F2187" s="4"/>
      <c r="G2187" s="4"/>
      <c r="H2187" s="3">
        <v>0.375</v>
      </c>
      <c r="I2187" s="3">
        <v>0.25486111111111109</v>
      </c>
      <c r="J2187" s="3">
        <v>0.25486111111111109</v>
      </c>
      <c r="K2187" s="4"/>
      <c r="L2187" s="4"/>
      <c r="M2187" s="4"/>
      <c r="N2187" s="4"/>
      <c r="O2187" s="3">
        <v>0.12013888888888889</v>
      </c>
      <c r="P2187" s="4"/>
    </row>
    <row r="2188" spans="1:16" x14ac:dyDescent="0.25">
      <c r="A2188" s="4" t="s">
        <v>260</v>
      </c>
      <c r="B2188" s="4" t="s">
        <v>25</v>
      </c>
      <c r="C2188" s="4" t="s">
        <v>25</v>
      </c>
      <c r="D2188" s="4" t="s">
        <v>25</v>
      </c>
      <c r="E2188" s="4" t="s">
        <v>25</v>
      </c>
      <c r="F2188" s="4" t="s">
        <v>25</v>
      </c>
      <c r="G2188" s="4" t="s">
        <v>25</v>
      </c>
      <c r="H2188" s="4"/>
      <c r="I2188" s="4"/>
      <c r="J2188" s="4"/>
      <c r="K2188" s="4"/>
      <c r="L2188" s="4"/>
      <c r="M2188" s="4"/>
      <c r="N2188" s="4"/>
      <c r="O2188" s="4"/>
      <c r="P2188" s="4"/>
    </row>
    <row r="2189" spans="1:16" x14ac:dyDescent="0.25">
      <c r="A2189" s="4" t="s">
        <v>261</v>
      </c>
      <c r="B2189" s="4" t="s">
        <v>25</v>
      </c>
      <c r="C2189" s="4" t="s">
        <v>25</v>
      </c>
      <c r="D2189" s="4" t="s">
        <v>25</v>
      </c>
      <c r="E2189" s="4" t="s">
        <v>25</v>
      </c>
      <c r="F2189" s="4" t="s">
        <v>25</v>
      </c>
      <c r="G2189" s="4" t="s">
        <v>25</v>
      </c>
      <c r="H2189" s="4"/>
      <c r="I2189" s="4"/>
      <c r="J2189" s="4"/>
      <c r="K2189" s="4"/>
      <c r="L2189" s="4"/>
      <c r="M2189" s="4"/>
      <c r="N2189" s="4"/>
      <c r="O2189" s="4"/>
      <c r="P2189" s="4"/>
    </row>
    <row r="2190" spans="1:16" x14ac:dyDescent="0.25">
      <c r="A2190" s="4" t="s">
        <v>262</v>
      </c>
      <c r="B2190" s="3">
        <v>0.33124999999999999</v>
      </c>
      <c r="C2190" s="3">
        <v>0.5625</v>
      </c>
      <c r="D2190" s="4" t="s">
        <v>297</v>
      </c>
      <c r="E2190" s="3">
        <v>0.71388888888888891</v>
      </c>
      <c r="F2190" s="4"/>
      <c r="G2190" s="4"/>
      <c r="H2190" s="3">
        <v>0.33333333333333331</v>
      </c>
      <c r="I2190" s="3">
        <v>0.33333333333333331</v>
      </c>
      <c r="J2190" s="4"/>
      <c r="K2190" s="4"/>
      <c r="L2190" s="4"/>
      <c r="M2190" s="4"/>
      <c r="N2190" s="4"/>
      <c r="O2190" s="4"/>
      <c r="P2190" s="4"/>
    </row>
    <row r="2191" spans="1:16" x14ac:dyDescent="0.25">
      <c r="A2191" s="4" t="s">
        <v>263</v>
      </c>
      <c r="B2191" s="3">
        <v>0.33333333333333331</v>
      </c>
      <c r="C2191" s="3">
        <v>0.55138888888888882</v>
      </c>
      <c r="D2191" s="3">
        <v>0.59236111111111112</v>
      </c>
      <c r="E2191" s="3">
        <v>0.75763888888888886</v>
      </c>
      <c r="F2191" s="4"/>
      <c r="G2191" s="4"/>
      <c r="H2191" s="3">
        <v>0.375</v>
      </c>
      <c r="I2191" s="3">
        <v>0.375</v>
      </c>
      <c r="J2191" s="4"/>
      <c r="K2191" s="4"/>
      <c r="L2191" s="4"/>
      <c r="M2191" s="4"/>
      <c r="N2191" s="4"/>
      <c r="O2191" s="4"/>
      <c r="P2191" s="3">
        <v>8.3333333333333332E-3</v>
      </c>
    </row>
    <row r="2192" spans="1:16" x14ac:dyDescent="0.25">
      <c r="A2192" s="4" t="s">
        <v>264</v>
      </c>
      <c r="B2192" s="3">
        <v>0.3298611111111111</v>
      </c>
      <c r="C2192" s="3">
        <v>0.52361111111111114</v>
      </c>
      <c r="D2192" s="3">
        <v>0.56597222222222221</v>
      </c>
      <c r="E2192" s="3">
        <v>0.75486111111111109</v>
      </c>
      <c r="F2192" s="4"/>
      <c r="G2192" s="4"/>
      <c r="H2192" s="3">
        <v>0.375</v>
      </c>
      <c r="I2192" s="3">
        <v>0.375</v>
      </c>
      <c r="J2192" s="4"/>
      <c r="K2192" s="4"/>
      <c r="L2192" s="4"/>
      <c r="M2192" s="4"/>
      <c r="N2192" s="4"/>
      <c r="O2192" s="4"/>
      <c r="P2192" s="4"/>
    </row>
    <row r="2194" spans="1:13" x14ac:dyDescent="0.25">
      <c r="A2194" s="7" t="s">
        <v>45</v>
      </c>
    </row>
    <row r="2197" spans="1:13" x14ac:dyDescent="0.25">
      <c r="A2197" s="7" t="s">
        <v>46</v>
      </c>
    </row>
    <row r="2198" spans="1:13" x14ac:dyDescent="0.25">
      <c r="A2198" s="7" t="s">
        <v>118</v>
      </c>
      <c r="F2198" s="7" t="s">
        <v>47</v>
      </c>
    </row>
    <row r="2199" spans="1:13" x14ac:dyDescent="0.25">
      <c r="F2199" s="7"/>
    </row>
    <row r="2203" spans="1:13" x14ac:dyDescent="0.25">
      <c r="G2203" s="1" t="s">
        <v>18</v>
      </c>
    </row>
    <row r="2204" spans="1:13" x14ac:dyDescent="0.25">
      <c r="A2204" s="1" t="s">
        <v>1</v>
      </c>
      <c r="B2204" t="s">
        <v>2</v>
      </c>
      <c r="H2204" s="1" t="s">
        <v>19</v>
      </c>
      <c r="I2204" s="1" t="s">
        <v>20</v>
      </c>
      <c r="J2204" s="1" t="s">
        <v>21</v>
      </c>
      <c r="K2204" s="1" t="s">
        <v>22</v>
      </c>
      <c r="L2204" s="1" t="s">
        <v>23</v>
      </c>
      <c r="M2204" s="1" t="s">
        <v>24</v>
      </c>
    </row>
    <row r="2205" spans="1:13" x14ac:dyDescent="0.25">
      <c r="A2205" s="1" t="s">
        <v>3</v>
      </c>
      <c r="B2205" t="s">
        <v>4</v>
      </c>
      <c r="G2205" s="1" t="s">
        <v>220</v>
      </c>
      <c r="H2205" s="3">
        <v>0.375</v>
      </c>
      <c r="I2205" s="3">
        <v>0.5</v>
      </c>
      <c r="J2205" s="3">
        <v>0.54166666666666663</v>
      </c>
      <c r="K2205" s="3">
        <v>0.79166666666666663</v>
      </c>
      <c r="L2205" s="4"/>
      <c r="M2205" s="4"/>
    </row>
    <row r="2206" spans="1:13" x14ac:dyDescent="0.25">
      <c r="A2206" s="1" t="s">
        <v>5</v>
      </c>
      <c r="B2206" t="s">
        <v>6</v>
      </c>
      <c r="G2206" s="1" t="s">
        <v>221</v>
      </c>
      <c r="H2206" s="3">
        <v>0.375</v>
      </c>
      <c r="I2206" s="3">
        <v>0.5</v>
      </c>
      <c r="J2206" s="3">
        <v>0.54166666666666663</v>
      </c>
      <c r="K2206" s="3">
        <v>0.79166666666666663</v>
      </c>
      <c r="L2206" s="4"/>
      <c r="M2206" s="4"/>
    </row>
    <row r="2207" spans="1:13" x14ac:dyDescent="0.25">
      <c r="G2207" s="1" t="s">
        <v>222</v>
      </c>
      <c r="H2207" s="3">
        <v>0.375</v>
      </c>
      <c r="I2207" s="3">
        <v>0.5</v>
      </c>
      <c r="J2207" s="3">
        <v>0.54166666666666663</v>
      </c>
      <c r="K2207" s="3">
        <v>0.79166666666666663</v>
      </c>
      <c r="L2207" s="4"/>
      <c r="M2207" s="4"/>
    </row>
    <row r="2208" spans="1:13" x14ac:dyDescent="0.25">
      <c r="A2208" s="1" t="s">
        <v>7</v>
      </c>
      <c r="B2208" t="s">
        <v>120</v>
      </c>
      <c r="G2208" s="1" t="s">
        <v>223</v>
      </c>
      <c r="H2208" s="3">
        <v>0.375</v>
      </c>
      <c r="I2208" s="3">
        <v>0.5</v>
      </c>
      <c r="J2208" s="3">
        <v>0.54166666666666663</v>
      </c>
      <c r="K2208" s="3">
        <v>0.79166666666666663</v>
      </c>
      <c r="L2208" s="4"/>
      <c r="M2208" s="4"/>
    </row>
    <row r="2209" spans="1:16" x14ac:dyDescent="0.25">
      <c r="A2209" s="1" t="s">
        <v>9</v>
      </c>
      <c r="B2209" t="s">
        <v>121</v>
      </c>
      <c r="D2209" s="1" t="s">
        <v>11</v>
      </c>
      <c r="E2209" t="s">
        <v>121</v>
      </c>
      <c r="G2209" s="1" t="s">
        <v>224</v>
      </c>
      <c r="H2209" s="3">
        <v>0.375</v>
      </c>
      <c r="I2209" s="3">
        <v>0.5</v>
      </c>
      <c r="J2209" s="3">
        <v>0.54166666666666663</v>
      </c>
      <c r="K2209" s="3">
        <v>0.75</v>
      </c>
      <c r="L2209" s="4"/>
      <c r="M2209" s="4"/>
    </row>
    <row r="2210" spans="1:16" x14ac:dyDescent="0.25">
      <c r="A2210" s="1" t="s">
        <v>12</v>
      </c>
      <c r="D2210" s="1" t="s">
        <v>13</v>
      </c>
      <c r="E2210" s="2">
        <v>42278</v>
      </c>
      <c r="G2210" s="1" t="s">
        <v>225</v>
      </c>
      <c r="H2210" s="4" t="s">
        <v>25</v>
      </c>
      <c r="I2210" s="4" t="s">
        <v>25</v>
      </c>
      <c r="J2210" s="4" t="s">
        <v>25</v>
      </c>
      <c r="K2210" s="4" t="s">
        <v>25</v>
      </c>
      <c r="L2210" s="4" t="s">
        <v>25</v>
      </c>
      <c r="M2210" s="4" t="s">
        <v>25</v>
      </c>
    </row>
    <row r="2211" spans="1:16" x14ac:dyDescent="0.25">
      <c r="A2211" s="1" t="s">
        <v>14</v>
      </c>
      <c r="B2211" t="s">
        <v>50</v>
      </c>
      <c r="G2211" s="1" t="s">
        <v>226</v>
      </c>
      <c r="H2211" s="4" t="s">
        <v>25</v>
      </c>
      <c r="I2211" s="4" t="s">
        <v>25</v>
      </c>
      <c r="J2211" s="4" t="s">
        <v>25</v>
      </c>
      <c r="K2211" s="4" t="s">
        <v>25</v>
      </c>
      <c r="L2211" s="4" t="s">
        <v>25</v>
      </c>
      <c r="M2211" s="4" t="s">
        <v>25</v>
      </c>
    </row>
    <row r="2212" spans="1:16" x14ac:dyDescent="0.25">
      <c r="A2212" s="1" t="s">
        <v>16</v>
      </c>
      <c r="B2212" t="s">
        <v>17</v>
      </c>
    </row>
    <row r="2215" spans="1:16" x14ac:dyDescent="0.25">
      <c r="A2215" s="5" t="s">
        <v>26</v>
      </c>
      <c r="B2215" s="5" t="s">
        <v>27</v>
      </c>
      <c r="C2215" s="5" t="s">
        <v>28</v>
      </c>
      <c r="D2215" s="5" t="s">
        <v>29</v>
      </c>
      <c r="E2215" s="5" t="s">
        <v>30</v>
      </c>
      <c r="F2215" s="5" t="s">
        <v>31</v>
      </c>
      <c r="G2215" s="5" t="s">
        <v>32</v>
      </c>
      <c r="H2215" s="5" t="s">
        <v>33</v>
      </c>
      <c r="I2215" s="5" t="s">
        <v>34</v>
      </c>
      <c r="J2215" s="5" t="s">
        <v>35</v>
      </c>
      <c r="K2215" s="5" t="s">
        <v>36</v>
      </c>
      <c r="L2215" s="5" t="s">
        <v>37</v>
      </c>
      <c r="M2215" s="5" t="s">
        <v>38</v>
      </c>
      <c r="N2215" s="5" t="s">
        <v>39</v>
      </c>
      <c r="O2215" s="5" t="s">
        <v>40</v>
      </c>
      <c r="P2215" s="5" t="s">
        <v>41</v>
      </c>
    </row>
    <row r="2216" spans="1:16" x14ac:dyDescent="0.25">
      <c r="A2216" s="4"/>
      <c r="B2216" s="4"/>
      <c r="C2216" s="4"/>
      <c r="D2216" s="4"/>
      <c r="E2216" s="4"/>
      <c r="F2216" s="4"/>
      <c r="G2216" s="4"/>
      <c r="H2216" s="6">
        <v>8.0833333333333339</v>
      </c>
      <c r="I2216" s="6">
        <v>8.0833333333333339</v>
      </c>
      <c r="J2216" s="6">
        <v>1.3208333333333333</v>
      </c>
      <c r="K2216" s="3">
        <v>0</v>
      </c>
      <c r="L2216" s="3">
        <v>0</v>
      </c>
      <c r="M2216" s="3">
        <v>0</v>
      </c>
      <c r="N2216" s="3">
        <v>0</v>
      </c>
      <c r="O2216" s="3">
        <v>0</v>
      </c>
      <c r="P2216" s="3">
        <v>0.20625000000000002</v>
      </c>
    </row>
    <row r="2217" spans="1:16" x14ac:dyDescent="0.25">
      <c r="A2217" s="4" t="s">
        <v>227</v>
      </c>
      <c r="B2217" s="3">
        <v>0.38750000000000001</v>
      </c>
      <c r="C2217" s="3">
        <v>0.5180555555555556</v>
      </c>
      <c r="D2217" s="3">
        <v>0.55694444444444446</v>
      </c>
      <c r="E2217" s="3">
        <v>0.80069444444444438</v>
      </c>
      <c r="F2217" s="4"/>
      <c r="G2217" s="4"/>
      <c r="H2217" s="3">
        <v>0.375</v>
      </c>
      <c r="I2217" s="3">
        <v>0.375</v>
      </c>
      <c r="J2217" s="4"/>
      <c r="K2217" s="4"/>
      <c r="L2217" s="4"/>
      <c r="M2217" s="4"/>
      <c r="N2217" s="4"/>
      <c r="O2217" s="4"/>
      <c r="P2217" s="4"/>
    </row>
    <row r="2218" spans="1:16" x14ac:dyDescent="0.25">
      <c r="A2218" s="4" t="s">
        <v>228</v>
      </c>
      <c r="B2218" s="3">
        <v>0.39305555555555555</v>
      </c>
      <c r="C2218" s="3">
        <v>0.52152777777777781</v>
      </c>
      <c r="D2218" s="3">
        <v>0.55138888888888882</v>
      </c>
      <c r="E2218" s="3">
        <v>0.80069444444444438</v>
      </c>
      <c r="F2218" s="4"/>
      <c r="G2218" s="4"/>
      <c r="H2218" s="3">
        <v>0.375</v>
      </c>
      <c r="I2218" s="3">
        <v>0.375</v>
      </c>
      <c r="J2218" s="4"/>
      <c r="K2218" s="4"/>
      <c r="L2218" s="4"/>
      <c r="M2218" s="4"/>
      <c r="N2218" s="4"/>
      <c r="O2218" s="4"/>
      <c r="P2218" s="4"/>
    </row>
    <row r="2219" spans="1:16" x14ac:dyDescent="0.25">
      <c r="A2219" s="4" t="s">
        <v>229</v>
      </c>
      <c r="B2219" s="3">
        <v>0.41041666666666665</v>
      </c>
      <c r="C2219" s="3">
        <v>0.51944444444444449</v>
      </c>
      <c r="D2219" s="3">
        <v>0.55555555555555558</v>
      </c>
      <c r="E2219" s="3">
        <v>0.79027777777777775</v>
      </c>
      <c r="F2219" s="4"/>
      <c r="G2219" s="4"/>
      <c r="H2219" s="3">
        <v>0.375</v>
      </c>
      <c r="I2219" s="3">
        <v>0.375</v>
      </c>
      <c r="J2219" s="3">
        <v>2.9861111111111113E-2</v>
      </c>
      <c r="K2219" s="4"/>
      <c r="L2219" s="4"/>
      <c r="M2219" s="4"/>
      <c r="N2219" s="4"/>
      <c r="O2219" s="4"/>
      <c r="P2219" s="4"/>
    </row>
    <row r="2220" spans="1:16" x14ac:dyDescent="0.25">
      <c r="A2220" s="4" t="s">
        <v>230</v>
      </c>
      <c r="B2220" s="3">
        <v>0.3659722222222222</v>
      </c>
      <c r="C2220" s="3">
        <v>0.52500000000000002</v>
      </c>
      <c r="D2220" s="3">
        <v>0.56736111111111109</v>
      </c>
      <c r="E2220" s="3">
        <v>0.79375000000000007</v>
      </c>
      <c r="F2220" s="4"/>
      <c r="G2220" s="4"/>
      <c r="H2220" s="3">
        <v>0.375</v>
      </c>
      <c r="I2220" s="3">
        <v>0.375</v>
      </c>
      <c r="J2220" s="4"/>
      <c r="K2220" s="4"/>
      <c r="L2220" s="4"/>
      <c r="M2220" s="4"/>
      <c r="N2220" s="4"/>
      <c r="O2220" s="4"/>
      <c r="P2220" s="3">
        <v>8.3333333333333332E-3</v>
      </c>
    </row>
    <row r="2221" spans="1:16" x14ac:dyDescent="0.25">
      <c r="A2221" s="4" t="s">
        <v>231</v>
      </c>
      <c r="B2221" s="3">
        <v>0.3611111111111111</v>
      </c>
      <c r="C2221" s="3">
        <v>0.49791666666666662</v>
      </c>
      <c r="D2221" s="3">
        <v>0.54652777777777783</v>
      </c>
      <c r="E2221" s="3">
        <v>0.75</v>
      </c>
      <c r="F2221" s="4"/>
      <c r="G2221" s="4"/>
      <c r="H2221" s="3">
        <v>0.33333333333333331</v>
      </c>
      <c r="I2221" s="3">
        <v>0.33333333333333331</v>
      </c>
      <c r="J2221" s="4"/>
      <c r="K2221" s="4"/>
      <c r="L2221" s="4"/>
      <c r="M2221" s="4"/>
      <c r="N2221" s="4"/>
      <c r="O2221" s="4"/>
      <c r="P2221" s="3">
        <v>9.0277777777777787E-3</v>
      </c>
    </row>
    <row r="2222" spans="1:16" x14ac:dyDescent="0.25">
      <c r="A2222" s="4" t="s">
        <v>232</v>
      </c>
      <c r="B2222" s="4" t="s">
        <v>25</v>
      </c>
      <c r="C2222" s="4" t="s">
        <v>25</v>
      </c>
      <c r="D2222" s="4" t="s">
        <v>25</v>
      </c>
      <c r="E2222" s="4" t="s">
        <v>25</v>
      </c>
      <c r="F2222" s="4"/>
      <c r="G2222" s="4"/>
      <c r="H2222" s="4"/>
      <c r="I2222" s="4"/>
      <c r="J2222" s="4"/>
      <c r="K2222" s="4"/>
      <c r="L2222" s="4"/>
      <c r="M2222" s="4"/>
      <c r="N2222" s="4"/>
      <c r="O2222" s="4"/>
      <c r="P2222" s="4"/>
    </row>
    <row r="2223" spans="1:16" x14ac:dyDescent="0.25">
      <c r="A2223" s="4" t="s">
        <v>233</v>
      </c>
      <c r="B2223" s="4" t="s">
        <v>25</v>
      </c>
      <c r="C2223" s="4" t="s">
        <v>25</v>
      </c>
      <c r="D2223" s="4" t="s">
        <v>25</v>
      </c>
      <c r="E2223" s="4" t="s">
        <v>25</v>
      </c>
      <c r="F2223" s="4"/>
      <c r="G2223" s="4"/>
      <c r="H2223" s="4"/>
      <c r="I2223" s="4"/>
      <c r="J2223" s="4"/>
      <c r="K2223" s="4"/>
      <c r="L2223" s="4"/>
      <c r="M2223" s="4"/>
      <c r="N2223" s="4"/>
      <c r="O2223" s="4"/>
      <c r="P2223" s="4"/>
    </row>
    <row r="2224" spans="1:16" x14ac:dyDescent="0.25">
      <c r="A2224" s="4" t="s">
        <v>234</v>
      </c>
      <c r="B2224" s="3">
        <v>0.38194444444444442</v>
      </c>
      <c r="C2224" s="3">
        <v>0.52152777777777781</v>
      </c>
      <c r="D2224" s="3">
        <v>0.56319444444444444</v>
      </c>
      <c r="E2224" s="3">
        <v>0.80138888888888893</v>
      </c>
      <c r="F2224" s="4"/>
      <c r="G2224" s="4"/>
      <c r="H2224" s="3">
        <v>0.375</v>
      </c>
      <c r="I2224" s="3">
        <v>0.375</v>
      </c>
      <c r="J2224" s="4"/>
      <c r="K2224" s="4"/>
      <c r="L2224" s="4"/>
      <c r="M2224" s="4"/>
      <c r="N2224" s="4"/>
      <c r="O2224" s="4"/>
      <c r="P2224" s="4"/>
    </row>
    <row r="2225" spans="1:16" x14ac:dyDescent="0.25">
      <c r="A2225" s="4" t="s">
        <v>235</v>
      </c>
      <c r="B2225" s="3">
        <v>0.38472222222222219</v>
      </c>
      <c r="C2225" s="3">
        <v>0.50902777777777775</v>
      </c>
      <c r="D2225" s="3">
        <v>0.54583333333333328</v>
      </c>
      <c r="E2225" s="3">
        <v>0.80208333333333337</v>
      </c>
      <c r="F2225" s="4"/>
      <c r="G2225" s="4"/>
      <c r="H2225" s="3">
        <v>0.375</v>
      </c>
      <c r="I2225" s="3">
        <v>0.375</v>
      </c>
      <c r="J2225" s="4"/>
      <c r="K2225" s="4"/>
      <c r="L2225" s="4"/>
      <c r="M2225" s="4"/>
      <c r="N2225" s="4"/>
      <c r="O2225" s="4"/>
      <c r="P2225" s="4"/>
    </row>
    <row r="2226" spans="1:16" x14ac:dyDescent="0.25">
      <c r="A2226" s="4" t="s">
        <v>236</v>
      </c>
      <c r="B2226" s="3">
        <v>0.38958333333333334</v>
      </c>
      <c r="C2226" s="3">
        <v>0.52013888888888882</v>
      </c>
      <c r="D2226" s="3">
        <v>0.56111111111111112</v>
      </c>
      <c r="E2226" s="3">
        <v>0.80347222222222225</v>
      </c>
      <c r="F2226" s="4"/>
      <c r="G2226" s="4"/>
      <c r="H2226" s="3">
        <v>0.375</v>
      </c>
      <c r="I2226" s="3">
        <v>0.375</v>
      </c>
      <c r="J2226" s="4"/>
      <c r="K2226" s="4"/>
      <c r="L2226" s="4"/>
      <c r="M2226" s="4"/>
      <c r="N2226" s="4"/>
      <c r="O2226" s="4"/>
      <c r="P2226" s="4"/>
    </row>
    <row r="2227" spans="1:16" x14ac:dyDescent="0.25">
      <c r="A2227" s="4" t="s">
        <v>237</v>
      </c>
      <c r="B2227" s="3">
        <v>0.38194444444444442</v>
      </c>
      <c r="C2227" s="3">
        <v>0.51041666666666663</v>
      </c>
      <c r="D2227" s="3">
        <v>0.55069444444444449</v>
      </c>
      <c r="E2227" s="3">
        <v>0.79999999999999993</v>
      </c>
      <c r="F2227" s="4"/>
      <c r="G2227" s="4"/>
      <c r="H2227" s="3">
        <v>0.375</v>
      </c>
      <c r="I2227" s="3">
        <v>0.375</v>
      </c>
      <c r="J2227" s="4"/>
      <c r="K2227" s="4"/>
      <c r="L2227" s="4"/>
      <c r="M2227" s="4"/>
      <c r="N2227" s="4"/>
      <c r="O2227" s="4"/>
      <c r="P2227" s="4"/>
    </row>
    <row r="2228" spans="1:16" x14ac:dyDescent="0.25">
      <c r="A2228" s="4" t="s">
        <v>238</v>
      </c>
      <c r="B2228" s="3">
        <v>0.375</v>
      </c>
      <c r="C2228" s="3">
        <v>0.55694444444444446</v>
      </c>
      <c r="D2228" s="3">
        <v>0.60625000000000007</v>
      </c>
      <c r="E2228" s="3">
        <v>0.7631944444444444</v>
      </c>
      <c r="F2228" s="4"/>
      <c r="G2228" s="4"/>
      <c r="H2228" s="3">
        <v>0.33333333333333331</v>
      </c>
      <c r="I2228" s="3">
        <v>0.33333333333333331</v>
      </c>
      <c r="J2228" s="4"/>
      <c r="K2228" s="4"/>
      <c r="L2228" s="4"/>
      <c r="M2228" s="4"/>
      <c r="N2228" s="4"/>
      <c r="O2228" s="4"/>
      <c r="P2228" s="4"/>
    </row>
    <row r="2229" spans="1:16" x14ac:dyDescent="0.25">
      <c r="A2229" s="4" t="s">
        <v>239</v>
      </c>
      <c r="B2229" s="4" t="s">
        <v>25</v>
      </c>
      <c r="C2229" s="4" t="s">
        <v>25</v>
      </c>
      <c r="D2229" s="4" t="s">
        <v>25</v>
      </c>
      <c r="E2229" s="4" t="s">
        <v>25</v>
      </c>
      <c r="F2229" s="4"/>
      <c r="G2229" s="4"/>
      <c r="H2229" s="4"/>
      <c r="I2229" s="4"/>
      <c r="J2229" s="4"/>
      <c r="K2229" s="4"/>
      <c r="L2229" s="4"/>
      <c r="M2229" s="4"/>
      <c r="N2229" s="4"/>
      <c r="O2229" s="4"/>
      <c r="P2229" s="4"/>
    </row>
    <row r="2230" spans="1:16" x14ac:dyDescent="0.25">
      <c r="A2230" s="4" t="s">
        <v>240</v>
      </c>
      <c r="B2230" s="4" t="s">
        <v>25</v>
      </c>
      <c r="C2230" s="4" t="s">
        <v>25</v>
      </c>
      <c r="D2230" s="4" t="s">
        <v>25</v>
      </c>
      <c r="E2230" s="4" t="s">
        <v>25</v>
      </c>
      <c r="F2230" s="4"/>
      <c r="G2230" s="4"/>
      <c r="H2230" s="4"/>
      <c r="I2230" s="4"/>
      <c r="J2230" s="4"/>
      <c r="K2230" s="4"/>
      <c r="L2230" s="4"/>
      <c r="M2230" s="4"/>
      <c r="N2230" s="4"/>
      <c r="O2230" s="4"/>
      <c r="P2230" s="4"/>
    </row>
    <row r="2231" spans="1:16" x14ac:dyDescent="0.25">
      <c r="A2231" s="4" t="s">
        <v>241</v>
      </c>
      <c r="B2231" s="3">
        <v>0.38263888888888892</v>
      </c>
      <c r="C2231" s="3">
        <v>0.53125</v>
      </c>
      <c r="D2231" s="3">
        <v>0.57152777777777775</v>
      </c>
      <c r="E2231" s="3">
        <v>0.7993055555555556</v>
      </c>
      <c r="F2231" s="4"/>
      <c r="G2231" s="4"/>
      <c r="H2231" s="3">
        <v>0.375</v>
      </c>
      <c r="I2231" s="3">
        <v>0.375</v>
      </c>
      <c r="J2231" s="4"/>
      <c r="K2231" s="4"/>
      <c r="L2231" s="4"/>
      <c r="M2231" s="4"/>
      <c r="N2231" s="4"/>
      <c r="O2231" s="4"/>
      <c r="P2231" s="4"/>
    </row>
    <row r="2232" spans="1:16" x14ac:dyDescent="0.25">
      <c r="A2232" s="4" t="s">
        <v>242</v>
      </c>
      <c r="B2232" s="3">
        <v>0.3743055555555555</v>
      </c>
      <c r="C2232" s="3">
        <v>0.51388888888888895</v>
      </c>
      <c r="D2232" s="3">
        <v>0.55833333333333335</v>
      </c>
      <c r="E2232" s="3">
        <v>0.79375000000000007</v>
      </c>
      <c r="F2232" s="4"/>
      <c r="G2232" s="4"/>
      <c r="H2232" s="3">
        <v>0.375</v>
      </c>
      <c r="I2232" s="3">
        <v>0.375</v>
      </c>
      <c r="J2232" s="4"/>
      <c r="K2232" s="4"/>
      <c r="L2232" s="4"/>
      <c r="M2232" s="4"/>
      <c r="N2232" s="4"/>
      <c r="O2232" s="4"/>
      <c r="P2232" s="4"/>
    </row>
    <row r="2233" spans="1:16" x14ac:dyDescent="0.25">
      <c r="A2233" s="4" t="s">
        <v>243</v>
      </c>
      <c r="B2233" s="3">
        <v>0.37152777777777773</v>
      </c>
      <c r="C2233" s="3">
        <v>0.5708333333333333</v>
      </c>
      <c r="D2233" s="3">
        <v>0.61875000000000002</v>
      </c>
      <c r="E2233" s="3">
        <v>0.79861111111111116</v>
      </c>
      <c r="F2233" s="4"/>
      <c r="G2233" s="4"/>
      <c r="H2233" s="3">
        <v>0.375</v>
      </c>
      <c r="I2233" s="3">
        <v>0.375</v>
      </c>
      <c r="J2233" s="4"/>
      <c r="K2233" s="4"/>
      <c r="L2233" s="4"/>
      <c r="M2233" s="4"/>
      <c r="N2233" s="4"/>
      <c r="O2233" s="4"/>
      <c r="P2233" s="4"/>
    </row>
    <row r="2234" spans="1:16" x14ac:dyDescent="0.25">
      <c r="A2234" s="4" t="s">
        <v>244</v>
      </c>
      <c r="B2234" s="3">
        <v>0.36805555555555558</v>
      </c>
      <c r="C2234" s="3">
        <v>0.52361111111111114</v>
      </c>
      <c r="D2234" s="3">
        <v>0.5625</v>
      </c>
      <c r="E2234" s="3">
        <v>0.58888888888888891</v>
      </c>
      <c r="F2234" s="4"/>
      <c r="G2234" s="4"/>
      <c r="H2234" s="4"/>
      <c r="I2234" s="4"/>
      <c r="J2234" s="4"/>
      <c r="K2234" s="4"/>
      <c r="L2234" s="4"/>
      <c r="M2234" s="4"/>
      <c r="N2234" s="4"/>
      <c r="O2234" s="4"/>
      <c r="P2234" s="3">
        <v>0.18194444444444444</v>
      </c>
    </row>
    <row r="2235" spans="1:16" x14ac:dyDescent="0.25">
      <c r="A2235" s="4" t="s">
        <v>245</v>
      </c>
      <c r="B2235" s="4" t="s">
        <v>52</v>
      </c>
      <c r="C2235" s="4" t="s">
        <v>52</v>
      </c>
      <c r="D2235" s="4" t="s">
        <v>52</v>
      </c>
      <c r="E2235" s="4" t="s">
        <v>52</v>
      </c>
      <c r="F2235" s="4"/>
      <c r="G2235" s="4"/>
      <c r="H2235" s="3">
        <v>0.33333333333333331</v>
      </c>
      <c r="I2235" s="3">
        <v>0.33333333333333331</v>
      </c>
      <c r="J2235" s="3">
        <v>0.33333333333333331</v>
      </c>
      <c r="K2235" s="4"/>
      <c r="L2235" s="4"/>
      <c r="M2235" s="4"/>
      <c r="N2235" s="4"/>
      <c r="O2235" s="4"/>
      <c r="P2235" s="4"/>
    </row>
    <row r="2236" spans="1:16" x14ac:dyDescent="0.25">
      <c r="A2236" s="4" t="s">
        <v>246</v>
      </c>
      <c r="B2236" s="4" t="s">
        <v>25</v>
      </c>
      <c r="C2236" s="4" t="s">
        <v>25</v>
      </c>
      <c r="D2236" s="4" t="s">
        <v>25</v>
      </c>
      <c r="E2236" s="4" t="s">
        <v>25</v>
      </c>
      <c r="F2236" s="4"/>
      <c r="G2236" s="4"/>
      <c r="H2236" s="4"/>
      <c r="I2236" s="4"/>
      <c r="J2236" s="4"/>
      <c r="K2236" s="4"/>
      <c r="L2236" s="4"/>
      <c r="M2236" s="4"/>
      <c r="N2236" s="4"/>
      <c r="O2236" s="4"/>
      <c r="P2236" s="4"/>
    </row>
    <row r="2237" spans="1:16" x14ac:dyDescent="0.25">
      <c r="A2237" s="4" t="s">
        <v>247</v>
      </c>
      <c r="B2237" s="4" t="s">
        <v>25</v>
      </c>
      <c r="C2237" s="4" t="s">
        <v>25</v>
      </c>
      <c r="D2237" s="4" t="s">
        <v>25</v>
      </c>
      <c r="E2237" s="4" t="s">
        <v>25</v>
      </c>
      <c r="F2237" s="4"/>
      <c r="G2237" s="4"/>
      <c r="H2237" s="4"/>
      <c r="I2237" s="4"/>
      <c r="J2237" s="4"/>
      <c r="K2237" s="4"/>
      <c r="L2237" s="4"/>
      <c r="M2237" s="4"/>
      <c r="N2237" s="4"/>
      <c r="O2237" s="4"/>
      <c r="P2237" s="4"/>
    </row>
    <row r="2238" spans="1:16" x14ac:dyDescent="0.25">
      <c r="A2238" s="4" t="s">
        <v>248</v>
      </c>
      <c r="B2238" s="3">
        <v>0.3840277777777778</v>
      </c>
      <c r="C2238" s="3">
        <v>0.50624999999999998</v>
      </c>
      <c r="D2238" s="3">
        <v>0.54861111111111105</v>
      </c>
      <c r="E2238" s="3">
        <v>0.8027777777777777</v>
      </c>
      <c r="F2238" s="4"/>
      <c r="G2238" s="4"/>
      <c r="H2238" s="3">
        <v>0.375</v>
      </c>
      <c r="I2238" s="3">
        <v>0.375</v>
      </c>
      <c r="J2238" s="4"/>
      <c r="K2238" s="4"/>
      <c r="L2238" s="4"/>
      <c r="M2238" s="4"/>
      <c r="N2238" s="4"/>
      <c r="O2238" s="4"/>
      <c r="P2238" s="4"/>
    </row>
    <row r="2239" spans="1:16" x14ac:dyDescent="0.25">
      <c r="A2239" s="4" t="s">
        <v>249</v>
      </c>
      <c r="B2239" s="3">
        <v>0.38611111111111113</v>
      </c>
      <c r="C2239" s="3">
        <v>0.5756944444444444</v>
      </c>
      <c r="D2239" s="4" t="s">
        <v>52</v>
      </c>
      <c r="E2239" s="4" t="s">
        <v>52</v>
      </c>
      <c r="F2239" s="4"/>
      <c r="G2239" s="4"/>
      <c r="H2239" s="3">
        <v>0.375</v>
      </c>
      <c r="I2239" s="3">
        <v>0.375</v>
      </c>
      <c r="J2239" s="3">
        <v>0.18541666666666667</v>
      </c>
      <c r="K2239" s="4"/>
      <c r="L2239" s="4"/>
      <c r="M2239" s="4"/>
      <c r="N2239" s="4"/>
      <c r="O2239" s="4"/>
      <c r="P2239" s="4"/>
    </row>
    <row r="2240" spans="1:16" x14ac:dyDescent="0.25">
      <c r="A2240" s="4" t="s">
        <v>251</v>
      </c>
      <c r="B2240" s="4" t="s">
        <v>52</v>
      </c>
      <c r="C2240" s="4" t="s">
        <v>52</v>
      </c>
      <c r="D2240" s="4" t="s">
        <v>52</v>
      </c>
      <c r="E2240" s="4" t="s">
        <v>52</v>
      </c>
      <c r="F2240" s="4"/>
      <c r="G2240" s="4"/>
      <c r="H2240" s="3">
        <v>0.375</v>
      </c>
      <c r="I2240" s="3">
        <v>0.375</v>
      </c>
      <c r="J2240" s="3">
        <v>0.375</v>
      </c>
      <c r="K2240" s="4"/>
      <c r="L2240" s="4"/>
      <c r="M2240" s="4"/>
      <c r="N2240" s="4"/>
      <c r="O2240" s="4"/>
      <c r="P2240" s="4"/>
    </row>
    <row r="2241" spans="1:16" x14ac:dyDescent="0.25">
      <c r="A2241" s="4" t="s">
        <v>256</v>
      </c>
      <c r="B2241" s="4" t="s">
        <v>52</v>
      </c>
      <c r="C2241" s="4" t="s">
        <v>52</v>
      </c>
      <c r="D2241" s="4" t="s">
        <v>52</v>
      </c>
      <c r="E2241" s="4" t="s">
        <v>52</v>
      </c>
      <c r="F2241" s="4"/>
      <c r="G2241" s="4"/>
      <c r="H2241" s="3">
        <v>0.375</v>
      </c>
      <c r="I2241" s="3">
        <v>0.375</v>
      </c>
      <c r="J2241" s="3">
        <v>0.375</v>
      </c>
      <c r="K2241" s="4"/>
      <c r="L2241" s="4"/>
      <c r="M2241" s="4"/>
      <c r="N2241" s="4"/>
      <c r="O2241" s="4"/>
      <c r="P2241" s="4"/>
    </row>
    <row r="2242" spans="1:16" x14ac:dyDescent="0.25">
      <c r="A2242" s="4" t="s">
        <v>259</v>
      </c>
      <c r="B2242" s="3">
        <v>0.37847222222222227</v>
      </c>
      <c r="C2242" s="3">
        <v>0.56388888888888888</v>
      </c>
      <c r="D2242" s="3">
        <v>0.61111111111111105</v>
      </c>
      <c r="E2242" s="3">
        <v>0.76111111111111107</v>
      </c>
      <c r="F2242" s="4"/>
      <c r="G2242" s="4"/>
      <c r="H2242" s="3">
        <v>0.33333333333333331</v>
      </c>
      <c r="I2242" s="3">
        <v>0.33333333333333331</v>
      </c>
      <c r="J2242" s="4"/>
      <c r="K2242" s="4"/>
      <c r="L2242" s="4"/>
      <c r="M2242" s="4"/>
      <c r="N2242" s="4"/>
      <c r="O2242" s="4"/>
      <c r="P2242" s="4"/>
    </row>
    <row r="2243" spans="1:16" x14ac:dyDescent="0.25">
      <c r="A2243" s="4" t="s">
        <v>260</v>
      </c>
      <c r="B2243" s="4" t="s">
        <v>25</v>
      </c>
      <c r="C2243" s="4" t="s">
        <v>25</v>
      </c>
      <c r="D2243" s="4" t="s">
        <v>25</v>
      </c>
      <c r="E2243" s="4" t="s">
        <v>25</v>
      </c>
      <c r="F2243" s="4"/>
      <c r="G2243" s="4"/>
      <c r="H2243" s="4"/>
      <c r="I2243" s="4"/>
      <c r="J2243" s="4"/>
      <c r="K2243" s="4"/>
      <c r="L2243" s="4"/>
      <c r="M2243" s="4"/>
      <c r="N2243" s="4"/>
      <c r="O2243" s="4"/>
      <c r="P2243" s="4"/>
    </row>
    <row r="2244" spans="1:16" x14ac:dyDescent="0.25">
      <c r="A2244" s="4" t="s">
        <v>261</v>
      </c>
      <c r="B2244" s="4" t="s">
        <v>25</v>
      </c>
      <c r="C2244" s="4" t="s">
        <v>25</v>
      </c>
      <c r="D2244" s="4" t="s">
        <v>25</v>
      </c>
      <c r="E2244" s="4" t="s">
        <v>25</v>
      </c>
      <c r="F2244" s="4"/>
      <c r="G2244" s="4"/>
      <c r="H2244" s="4"/>
      <c r="I2244" s="4"/>
      <c r="J2244" s="4"/>
      <c r="K2244" s="4"/>
      <c r="L2244" s="4"/>
      <c r="M2244" s="4"/>
      <c r="N2244" s="4"/>
      <c r="O2244" s="4"/>
      <c r="P2244" s="4"/>
    </row>
    <row r="2245" spans="1:16" x14ac:dyDescent="0.25">
      <c r="A2245" s="4" t="s">
        <v>262</v>
      </c>
      <c r="B2245" s="3">
        <v>0.375</v>
      </c>
      <c r="C2245" s="3">
        <v>0.50694444444444442</v>
      </c>
      <c r="D2245" s="3">
        <v>0.54305555555555551</v>
      </c>
      <c r="E2245" s="3">
        <v>0.79305555555555562</v>
      </c>
      <c r="F2245" s="4"/>
      <c r="G2245" s="4"/>
      <c r="H2245" s="3">
        <v>0.375</v>
      </c>
      <c r="I2245" s="3">
        <v>0.375</v>
      </c>
      <c r="J2245" s="4"/>
      <c r="K2245" s="4"/>
      <c r="L2245" s="4"/>
      <c r="M2245" s="4"/>
      <c r="N2245" s="4"/>
      <c r="O2245" s="4"/>
      <c r="P2245" s="3">
        <v>6.9444444444444441E-3</v>
      </c>
    </row>
    <row r="2246" spans="1:16" x14ac:dyDescent="0.25">
      <c r="A2246" s="4" t="s">
        <v>263</v>
      </c>
      <c r="B2246" s="3">
        <v>0.38194444444444442</v>
      </c>
      <c r="C2246" s="3">
        <v>0.5083333333333333</v>
      </c>
      <c r="D2246" s="3">
        <v>0.55069444444444449</v>
      </c>
      <c r="E2246" s="3">
        <v>0.79861111111111116</v>
      </c>
      <c r="F2246" s="4"/>
      <c r="G2246" s="4"/>
      <c r="H2246" s="3">
        <v>0.375</v>
      </c>
      <c r="I2246" s="3">
        <v>0.375</v>
      </c>
      <c r="J2246" s="4"/>
      <c r="K2246" s="4"/>
      <c r="L2246" s="4"/>
      <c r="M2246" s="4"/>
      <c r="N2246" s="4"/>
      <c r="O2246" s="4"/>
      <c r="P2246" s="4"/>
    </row>
    <row r="2247" spans="1:16" x14ac:dyDescent="0.25">
      <c r="A2247" s="4" t="s">
        <v>264</v>
      </c>
      <c r="B2247" s="3">
        <v>0.40763888888888888</v>
      </c>
      <c r="C2247" s="3">
        <v>0.56180555555555556</v>
      </c>
      <c r="D2247" s="3">
        <v>0.61527777777777781</v>
      </c>
      <c r="E2247" s="3">
        <v>0.81388888888888899</v>
      </c>
      <c r="F2247" s="4"/>
      <c r="G2247" s="4"/>
      <c r="H2247" s="3">
        <v>0.375</v>
      </c>
      <c r="I2247" s="3">
        <v>0.375</v>
      </c>
      <c r="J2247" s="3">
        <v>2.2222222222222223E-2</v>
      </c>
      <c r="K2247" s="4"/>
      <c r="L2247" s="4"/>
      <c r="M2247" s="4"/>
      <c r="N2247" s="4"/>
      <c r="O2247" s="4"/>
      <c r="P2247" s="4"/>
    </row>
    <row r="2249" spans="1:16" x14ac:dyDescent="0.25">
      <c r="A2249" s="7" t="s">
        <v>45</v>
      </c>
    </row>
    <row r="2252" spans="1:16" x14ac:dyDescent="0.25">
      <c r="A2252" s="7" t="s">
        <v>46</v>
      </c>
    </row>
    <row r="2253" spans="1:16" x14ac:dyDescent="0.25">
      <c r="A2253" s="7" t="s">
        <v>120</v>
      </c>
      <c r="F2253" s="7" t="s">
        <v>47</v>
      </c>
    </row>
    <row r="2254" spans="1:16" x14ac:dyDescent="0.25">
      <c r="F2254" s="7"/>
    </row>
    <row r="2258" spans="1:16" x14ac:dyDescent="0.25">
      <c r="G2258" s="1" t="s">
        <v>18</v>
      </c>
    </row>
    <row r="2259" spans="1:16" x14ac:dyDescent="0.25">
      <c r="A2259" s="1" t="s">
        <v>1</v>
      </c>
      <c r="B2259" t="s">
        <v>2</v>
      </c>
      <c r="H2259" s="1" t="s">
        <v>19</v>
      </c>
      <c r="I2259" s="1" t="s">
        <v>20</v>
      </c>
      <c r="J2259" s="1" t="s">
        <v>21</v>
      </c>
      <c r="K2259" s="1" t="s">
        <v>22</v>
      </c>
      <c r="L2259" s="1" t="s">
        <v>23</v>
      </c>
      <c r="M2259" s="1" t="s">
        <v>24</v>
      </c>
    </row>
    <row r="2260" spans="1:16" x14ac:dyDescent="0.25">
      <c r="A2260" s="1" t="s">
        <v>3</v>
      </c>
      <c r="B2260" t="s">
        <v>4</v>
      </c>
      <c r="G2260" s="1" t="s">
        <v>220</v>
      </c>
      <c r="H2260" s="3">
        <v>0.375</v>
      </c>
      <c r="I2260" s="3">
        <v>0.5</v>
      </c>
      <c r="J2260" s="3">
        <v>0.54166666666666663</v>
      </c>
      <c r="K2260" s="3">
        <v>0.75</v>
      </c>
      <c r="L2260" s="4"/>
      <c r="M2260" s="4"/>
    </row>
    <row r="2261" spans="1:16" x14ac:dyDescent="0.25">
      <c r="A2261" s="1" t="s">
        <v>5</v>
      </c>
      <c r="B2261" t="s">
        <v>6</v>
      </c>
      <c r="G2261" s="1" t="s">
        <v>221</v>
      </c>
      <c r="H2261" s="3">
        <v>0.375</v>
      </c>
      <c r="I2261" s="3">
        <v>0.5</v>
      </c>
      <c r="J2261" s="3">
        <v>0.54166666666666663</v>
      </c>
      <c r="K2261" s="3">
        <v>0.79166666666666663</v>
      </c>
      <c r="L2261" s="4"/>
      <c r="M2261" s="4"/>
    </row>
    <row r="2262" spans="1:16" x14ac:dyDescent="0.25">
      <c r="G2262" s="1" t="s">
        <v>222</v>
      </c>
      <c r="H2262" s="3">
        <v>0.375</v>
      </c>
      <c r="I2262" s="3">
        <v>0.5</v>
      </c>
      <c r="J2262" s="3">
        <v>0.54166666666666663</v>
      </c>
      <c r="K2262" s="3">
        <v>0.79166666666666663</v>
      </c>
      <c r="L2262" s="4"/>
      <c r="M2262" s="4"/>
    </row>
    <row r="2263" spans="1:16" x14ac:dyDescent="0.25">
      <c r="A2263" s="1" t="s">
        <v>7</v>
      </c>
      <c r="B2263" t="s">
        <v>122</v>
      </c>
      <c r="G2263" s="1" t="s">
        <v>223</v>
      </c>
      <c r="H2263" s="3">
        <v>0.375</v>
      </c>
      <c r="I2263" s="3">
        <v>0.5</v>
      </c>
      <c r="J2263" s="3">
        <v>0.54166666666666663</v>
      </c>
      <c r="K2263" s="3">
        <v>0.79166666666666663</v>
      </c>
      <c r="L2263" s="4"/>
      <c r="M2263" s="4"/>
    </row>
    <row r="2264" spans="1:16" x14ac:dyDescent="0.25">
      <c r="A2264" s="1" t="s">
        <v>9</v>
      </c>
      <c r="B2264" t="s">
        <v>123</v>
      </c>
      <c r="D2264" s="1" t="s">
        <v>11</v>
      </c>
      <c r="E2264" t="s">
        <v>123</v>
      </c>
      <c r="G2264" s="1" t="s">
        <v>224</v>
      </c>
      <c r="H2264" s="3">
        <v>0.375</v>
      </c>
      <c r="I2264" s="3">
        <v>0.5</v>
      </c>
      <c r="J2264" s="3">
        <v>0.54166666666666663</v>
      </c>
      <c r="K2264" s="3">
        <v>0.79166666666666663</v>
      </c>
      <c r="L2264" s="4"/>
      <c r="M2264" s="4"/>
    </row>
    <row r="2265" spans="1:16" x14ac:dyDescent="0.25">
      <c r="A2265" s="1" t="s">
        <v>12</v>
      </c>
      <c r="D2265" s="1" t="s">
        <v>13</v>
      </c>
      <c r="E2265" s="2">
        <v>42278</v>
      </c>
      <c r="G2265" s="1" t="s">
        <v>225</v>
      </c>
      <c r="H2265" s="4" t="s">
        <v>25</v>
      </c>
      <c r="I2265" s="4" t="s">
        <v>25</v>
      </c>
      <c r="J2265" s="4" t="s">
        <v>25</v>
      </c>
      <c r="K2265" s="4" t="s">
        <v>25</v>
      </c>
      <c r="L2265" s="4" t="s">
        <v>25</v>
      </c>
      <c r="M2265" s="4" t="s">
        <v>25</v>
      </c>
    </row>
    <row r="2266" spans="1:16" x14ac:dyDescent="0.25">
      <c r="A2266" s="1" t="s">
        <v>14</v>
      </c>
      <c r="B2266" t="s">
        <v>15</v>
      </c>
      <c r="G2266" s="1" t="s">
        <v>226</v>
      </c>
      <c r="H2266" s="4" t="s">
        <v>25</v>
      </c>
      <c r="I2266" s="4" t="s">
        <v>25</v>
      </c>
      <c r="J2266" s="4" t="s">
        <v>25</v>
      </c>
      <c r="K2266" s="4" t="s">
        <v>25</v>
      </c>
      <c r="L2266" s="4" t="s">
        <v>25</v>
      </c>
      <c r="M2266" s="4" t="s">
        <v>25</v>
      </c>
    </row>
    <row r="2267" spans="1:16" x14ac:dyDescent="0.25">
      <c r="A2267" s="1" t="s">
        <v>16</v>
      </c>
      <c r="B2267" t="s">
        <v>17</v>
      </c>
    </row>
    <row r="2270" spans="1:16" x14ac:dyDescent="0.25">
      <c r="A2270" s="5" t="s">
        <v>26</v>
      </c>
      <c r="B2270" s="5" t="s">
        <v>27</v>
      </c>
      <c r="C2270" s="5" t="s">
        <v>28</v>
      </c>
      <c r="D2270" s="5" t="s">
        <v>29</v>
      </c>
      <c r="E2270" s="5" t="s">
        <v>30</v>
      </c>
      <c r="F2270" s="5" t="s">
        <v>31</v>
      </c>
      <c r="G2270" s="5" t="s">
        <v>32</v>
      </c>
      <c r="H2270" s="5" t="s">
        <v>33</v>
      </c>
      <c r="I2270" s="5" t="s">
        <v>34</v>
      </c>
      <c r="J2270" s="5" t="s">
        <v>35</v>
      </c>
      <c r="K2270" s="5" t="s">
        <v>36</v>
      </c>
      <c r="L2270" s="5" t="s">
        <v>37</v>
      </c>
      <c r="M2270" s="5" t="s">
        <v>38</v>
      </c>
      <c r="N2270" s="5" t="s">
        <v>39</v>
      </c>
      <c r="O2270" s="5" t="s">
        <v>40</v>
      </c>
      <c r="P2270" s="5" t="s">
        <v>41</v>
      </c>
    </row>
    <row r="2271" spans="1:16" x14ac:dyDescent="0.25">
      <c r="A2271" s="4"/>
      <c r="B2271" s="4"/>
      <c r="C2271" s="4"/>
      <c r="D2271" s="4"/>
      <c r="E2271" s="4"/>
      <c r="F2271" s="4"/>
      <c r="G2271" s="4"/>
      <c r="H2271" s="6">
        <v>8.0416666666666661</v>
      </c>
      <c r="I2271" s="6">
        <v>8.0131944444444443</v>
      </c>
      <c r="J2271" s="6">
        <v>1.375</v>
      </c>
      <c r="K2271" s="3">
        <v>0</v>
      </c>
      <c r="L2271" s="3">
        <v>0.20833333333333334</v>
      </c>
      <c r="M2271" s="3">
        <v>0</v>
      </c>
      <c r="N2271" s="3">
        <v>0</v>
      </c>
      <c r="O2271" s="3">
        <v>2.8472222222222222E-2</v>
      </c>
      <c r="P2271" s="3">
        <v>0.14305555555555557</v>
      </c>
    </row>
    <row r="2272" spans="1:16" x14ac:dyDescent="0.25">
      <c r="A2272" s="4" t="s">
        <v>227</v>
      </c>
      <c r="B2272" s="3">
        <v>0.38194444444444442</v>
      </c>
      <c r="C2272" s="3">
        <v>0.52013888888888882</v>
      </c>
      <c r="D2272" s="3">
        <v>0.55555555555555558</v>
      </c>
      <c r="E2272" s="4" t="s">
        <v>44</v>
      </c>
      <c r="F2272" s="4"/>
      <c r="G2272" s="4"/>
      <c r="H2272" s="3">
        <v>0.33333333333333331</v>
      </c>
      <c r="I2272" s="3">
        <v>0.33333333333333331</v>
      </c>
      <c r="J2272" s="4"/>
      <c r="K2272" s="4"/>
      <c r="L2272" s="4"/>
      <c r="M2272" s="4"/>
      <c r="N2272" s="4"/>
      <c r="O2272" s="4"/>
      <c r="P2272" s="4"/>
    </row>
    <row r="2273" spans="1:16" x14ac:dyDescent="0.25">
      <c r="A2273" s="4" t="s">
        <v>228</v>
      </c>
      <c r="B2273" s="3">
        <v>0.37777777777777777</v>
      </c>
      <c r="C2273" s="3">
        <v>0.51597222222222217</v>
      </c>
      <c r="D2273" s="3">
        <v>0.55694444444444446</v>
      </c>
      <c r="E2273" s="3">
        <v>0.79791666666666661</v>
      </c>
      <c r="F2273" s="4"/>
      <c r="G2273" s="4"/>
      <c r="H2273" s="3">
        <v>0.375</v>
      </c>
      <c r="I2273" s="3">
        <v>0.375</v>
      </c>
      <c r="J2273" s="4"/>
      <c r="K2273" s="4"/>
      <c r="L2273" s="4"/>
      <c r="M2273" s="4"/>
      <c r="N2273" s="4"/>
      <c r="O2273" s="4"/>
      <c r="P2273" s="3">
        <v>6.9444444444444441E-3</v>
      </c>
    </row>
    <row r="2274" spans="1:16" x14ac:dyDescent="0.25">
      <c r="A2274" s="4" t="s">
        <v>229</v>
      </c>
      <c r="B2274" s="3">
        <v>0.3840277777777778</v>
      </c>
      <c r="C2274" s="3">
        <v>0.54305555555555551</v>
      </c>
      <c r="D2274" s="3">
        <v>0.57361111111111118</v>
      </c>
      <c r="E2274" s="3">
        <v>0.7944444444444444</v>
      </c>
      <c r="F2274" s="4"/>
      <c r="G2274" s="4"/>
      <c r="H2274" s="3">
        <v>0.375</v>
      </c>
      <c r="I2274" s="3">
        <v>0.375</v>
      </c>
      <c r="J2274" s="4"/>
      <c r="K2274" s="4"/>
      <c r="L2274" s="4"/>
      <c r="M2274" s="4"/>
      <c r="N2274" s="4"/>
      <c r="O2274" s="4"/>
      <c r="P2274" s="4"/>
    </row>
    <row r="2275" spans="1:16" x14ac:dyDescent="0.25">
      <c r="A2275" s="4" t="s">
        <v>230</v>
      </c>
      <c r="B2275" s="3">
        <v>0.37916666666666665</v>
      </c>
      <c r="C2275" s="3">
        <v>0.52430555555555558</v>
      </c>
      <c r="D2275" s="3">
        <v>0.56319444444444444</v>
      </c>
      <c r="E2275" s="3">
        <v>0.80555555555555547</v>
      </c>
      <c r="F2275" s="4"/>
      <c r="G2275" s="4"/>
      <c r="H2275" s="3">
        <v>0.375</v>
      </c>
      <c r="I2275" s="3">
        <v>0.375</v>
      </c>
      <c r="J2275" s="4"/>
      <c r="K2275" s="4"/>
      <c r="L2275" s="4"/>
      <c r="M2275" s="4"/>
      <c r="N2275" s="4"/>
      <c r="O2275" s="4"/>
      <c r="P2275" s="3">
        <v>1.2499999999999999E-2</v>
      </c>
    </row>
    <row r="2276" spans="1:16" x14ac:dyDescent="0.25">
      <c r="A2276" s="4" t="s">
        <v>231</v>
      </c>
      <c r="B2276" s="3">
        <v>0.37638888888888888</v>
      </c>
      <c r="C2276" s="3">
        <v>0.5395833333333333</v>
      </c>
      <c r="D2276" s="3">
        <v>0.58402777777777781</v>
      </c>
      <c r="E2276" s="3">
        <v>0.81319444444444444</v>
      </c>
      <c r="F2276" s="4"/>
      <c r="G2276" s="4"/>
      <c r="H2276" s="3">
        <v>0.375</v>
      </c>
      <c r="I2276" s="3">
        <v>0.375</v>
      </c>
      <c r="J2276" s="4"/>
      <c r="K2276" s="4"/>
      <c r="L2276" s="4"/>
      <c r="M2276" s="4"/>
      <c r="N2276" s="4"/>
      <c r="O2276" s="4"/>
      <c r="P2276" s="3">
        <v>1.8749999999999999E-2</v>
      </c>
    </row>
    <row r="2277" spans="1:16" x14ac:dyDescent="0.25">
      <c r="A2277" s="4" t="s">
        <v>232</v>
      </c>
      <c r="B2277" s="4"/>
      <c r="C2277" s="4"/>
      <c r="D2277" s="4"/>
      <c r="E2277" s="4"/>
      <c r="F2277" s="4"/>
      <c r="G2277" s="4"/>
      <c r="H2277" s="4"/>
      <c r="I2277" s="4"/>
      <c r="J2277" s="4"/>
      <c r="K2277" s="4"/>
      <c r="L2277" s="4"/>
      <c r="M2277" s="4"/>
      <c r="N2277" s="4"/>
      <c r="O2277" s="4"/>
      <c r="P2277" s="4"/>
    </row>
    <row r="2278" spans="1:16" x14ac:dyDescent="0.25">
      <c r="A2278" s="4" t="s">
        <v>233</v>
      </c>
      <c r="B2278" s="4" t="s">
        <v>25</v>
      </c>
      <c r="C2278" s="4" t="s">
        <v>25</v>
      </c>
      <c r="D2278" s="4" t="s">
        <v>25</v>
      </c>
      <c r="E2278" s="4" t="s">
        <v>25</v>
      </c>
      <c r="F2278" s="4" t="s">
        <v>25</v>
      </c>
      <c r="G2278" s="4" t="s">
        <v>25</v>
      </c>
      <c r="H2278" s="4"/>
      <c r="I2278" s="4"/>
      <c r="J2278" s="4"/>
      <c r="K2278" s="4"/>
      <c r="L2278" s="3">
        <v>0.20833333333333334</v>
      </c>
      <c r="M2278" s="4"/>
      <c r="N2278" s="4"/>
      <c r="O2278" s="4"/>
      <c r="P2278" s="4"/>
    </row>
    <row r="2279" spans="1:16" x14ac:dyDescent="0.25">
      <c r="A2279" s="4" t="s">
        <v>234</v>
      </c>
      <c r="B2279" s="3">
        <v>0.37638888888888888</v>
      </c>
      <c r="C2279" s="3">
        <v>0.50972222222222219</v>
      </c>
      <c r="D2279" s="3">
        <v>0.55069444444444449</v>
      </c>
      <c r="E2279" s="3">
        <v>0.75763888888888886</v>
      </c>
      <c r="F2279" s="4"/>
      <c r="G2279" s="4"/>
      <c r="H2279" s="3">
        <v>0.33333333333333331</v>
      </c>
      <c r="I2279" s="3">
        <v>0.33333333333333331</v>
      </c>
      <c r="J2279" s="4"/>
      <c r="K2279" s="4"/>
      <c r="L2279" s="4"/>
      <c r="M2279" s="4"/>
      <c r="N2279" s="4"/>
      <c r="O2279" s="4"/>
      <c r="P2279" s="3">
        <v>8.3333333333333332E-3</v>
      </c>
    </row>
    <row r="2280" spans="1:16" x14ac:dyDescent="0.25">
      <c r="A2280" s="4" t="s">
        <v>235</v>
      </c>
      <c r="B2280" s="3">
        <v>0.37638888888888888</v>
      </c>
      <c r="C2280" s="3">
        <v>0.5625</v>
      </c>
      <c r="D2280" s="3">
        <v>0.60347222222222219</v>
      </c>
      <c r="E2280" s="3">
        <v>0.8305555555555556</v>
      </c>
      <c r="F2280" s="4"/>
      <c r="G2280" s="4"/>
      <c r="H2280" s="3">
        <v>0.375</v>
      </c>
      <c r="I2280" s="3">
        <v>0.375</v>
      </c>
      <c r="J2280" s="4"/>
      <c r="K2280" s="4"/>
      <c r="L2280" s="4"/>
      <c r="M2280" s="4"/>
      <c r="N2280" s="4"/>
      <c r="O2280" s="4"/>
      <c r="P2280" s="3">
        <v>3.9583333333333331E-2</v>
      </c>
    </row>
    <row r="2281" spans="1:16" x14ac:dyDescent="0.25">
      <c r="A2281" s="4" t="s">
        <v>236</v>
      </c>
      <c r="B2281" s="4" t="s">
        <v>298</v>
      </c>
      <c r="C2281" s="3">
        <v>0.53402777777777777</v>
      </c>
      <c r="D2281" s="3">
        <v>0.5756944444444444</v>
      </c>
      <c r="E2281" s="3">
        <v>0.79861111111111116</v>
      </c>
      <c r="F2281" s="4"/>
      <c r="G2281" s="4"/>
      <c r="H2281" s="3">
        <v>0.375</v>
      </c>
      <c r="I2281" s="3">
        <v>0.375</v>
      </c>
      <c r="J2281" s="4"/>
      <c r="K2281" s="4"/>
      <c r="L2281" s="4"/>
      <c r="M2281" s="4"/>
      <c r="N2281" s="4"/>
      <c r="O2281" s="4"/>
      <c r="P2281" s="4"/>
    </row>
    <row r="2282" spans="1:16" x14ac:dyDescent="0.25">
      <c r="A2282" s="4" t="s">
        <v>237</v>
      </c>
      <c r="B2282" s="3">
        <v>0.38472222222222219</v>
      </c>
      <c r="C2282" s="3">
        <v>0.52361111111111114</v>
      </c>
      <c r="D2282" s="4" t="s">
        <v>299</v>
      </c>
      <c r="E2282" s="3">
        <v>0.80972222222222223</v>
      </c>
      <c r="F2282" s="4"/>
      <c r="G2282" s="4"/>
      <c r="H2282" s="3">
        <v>0.375</v>
      </c>
      <c r="I2282" s="3">
        <v>0.375</v>
      </c>
      <c r="J2282" s="4"/>
      <c r="K2282" s="4"/>
      <c r="L2282" s="4"/>
      <c r="M2282" s="4"/>
      <c r="N2282" s="4"/>
      <c r="O2282" s="4"/>
      <c r="P2282" s="3">
        <v>8.3333333333333332E-3</v>
      </c>
    </row>
    <row r="2283" spans="1:16" x14ac:dyDescent="0.25">
      <c r="A2283" s="4" t="s">
        <v>238</v>
      </c>
      <c r="B2283" s="3">
        <v>0.37916666666666665</v>
      </c>
      <c r="C2283" s="3">
        <v>0.5180555555555556</v>
      </c>
      <c r="D2283" s="3">
        <v>0.55833333333333335</v>
      </c>
      <c r="E2283" s="3">
        <v>0.81944444444444453</v>
      </c>
      <c r="F2283" s="4"/>
      <c r="G2283" s="4"/>
      <c r="H2283" s="3">
        <v>0.375</v>
      </c>
      <c r="I2283" s="3">
        <v>0.375</v>
      </c>
      <c r="J2283" s="4"/>
      <c r="K2283" s="4"/>
      <c r="L2283" s="4"/>
      <c r="M2283" s="4"/>
      <c r="N2283" s="4"/>
      <c r="O2283" s="4"/>
      <c r="P2283" s="3">
        <v>2.4999999999999998E-2</v>
      </c>
    </row>
    <row r="2284" spans="1:16" x14ac:dyDescent="0.25">
      <c r="A2284" s="4" t="s">
        <v>239</v>
      </c>
      <c r="B2284" s="4" t="s">
        <v>25</v>
      </c>
      <c r="C2284" s="4" t="s">
        <v>25</v>
      </c>
      <c r="D2284" s="4" t="s">
        <v>25</v>
      </c>
      <c r="E2284" s="4" t="s">
        <v>25</v>
      </c>
      <c r="F2284" s="4" t="s">
        <v>25</v>
      </c>
      <c r="G2284" s="4" t="s">
        <v>25</v>
      </c>
      <c r="H2284" s="4"/>
      <c r="I2284" s="4"/>
      <c r="J2284" s="4"/>
      <c r="K2284" s="4"/>
      <c r="L2284" s="4"/>
      <c r="M2284" s="4"/>
      <c r="N2284" s="4"/>
      <c r="O2284" s="4"/>
      <c r="P2284" s="4"/>
    </row>
    <row r="2285" spans="1:16" x14ac:dyDescent="0.25">
      <c r="A2285" s="4" t="s">
        <v>240</v>
      </c>
      <c r="B2285" s="4" t="s">
        <v>25</v>
      </c>
      <c r="C2285" s="4" t="s">
        <v>25</v>
      </c>
      <c r="D2285" s="4" t="s">
        <v>25</v>
      </c>
      <c r="E2285" s="4" t="s">
        <v>25</v>
      </c>
      <c r="F2285" s="4" t="s">
        <v>25</v>
      </c>
      <c r="G2285" s="4" t="s">
        <v>25</v>
      </c>
      <c r="H2285" s="4"/>
      <c r="I2285" s="4"/>
      <c r="J2285" s="4"/>
      <c r="K2285" s="4"/>
      <c r="L2285" s="4"/>
      <c r="M2285" s="4"/>
      <c r="N2285" s="4"/>
      <c r="O2285" s="4"/>
      <c r="P2285" s="4"/>
    </row>
    <row r="2286" spans="1:16" x14ac:dyDescent="0.25">
      <c r="A2286" s="4" t="s">
        <v>241</v>
      </c>
      <c r="B2286" s="3">
        <v>0.39374999999999999</v>
      </c>
      <c r="C2286" s="3">
        <v>0.50486111111111109</v>
      </c>
      <c r="D2286" s="4" t="s">
        <v>300</v>
      </c>
      <c r="E2286" s="3">
        <v>0.76041666666666663</v>
      </c>
      <c r="F2286" s="4"/>
      <c r="G2286" s="4"/>
      <c r="H2286" s="3">
        <v>0.33333333333333331</v>
      </c>
      <c r="I2286" s="3">
        <v>0.32500000000000001</v>
      </c>
      <c r="J2286" s="4"/>
      <c r="K2286" s="4"/>
      <c r="L2286" s="4"/>
      <c r="M2286" s="4"/>
      <c r="N2286" s="4"/>
      <c r="O2286" s="3">
        <v>8.3333333333333332E-3</v>
      </c>
      <c r="P2286" s="4"/>
    </row>
    <row r="2287" spans="1:16" x14ac:dyDescent="0.25">
      <c r="A2287" s="4" t="s">
        <v>242</v>
      </c>
      <c r="B2287" s="3">
        <v>0.38194444444444442</v>
      </c>
      <c r="C2287" s="3">
        <v>0.53472222222222221</v>
      </c>
      <c r="D2287" s="3">
        <v>0.57638888888888895</v>
      </c>
      <c r="E2287" s="3">
        <v>0.79999999999999993</v>
      </c>
      <c r="F2287" s="4"/>
      <c r="G2287" s="4"/>
      <c r="H2287" s="3">
        <v>0.375</v>
      </c>
      <c r="I2287" s="3">
        <v>0.375</v>
      </c>
      <c r="J2287" s="4"/>
      <c r="K2287" s="4"/>
      <c r="L2287" s="4"/>
      <c r="M2287" s="4"/>
      <c r="N2287" s="4"/>
      <c r="O2287" s="4"/>
      <c r="P2287" s="4"/>
    </row>
    <row r="2288" spans="1:16" x14ac:dyDescent="0.25">
      <c r="A2288" s="4" t="s">
        <v>243</v>
      </c>
      <c r="B2288" s="3">
        <v>0.38611111111111113</v>
      </c>
      <c r="C2288" s="4" t="s">
        <v>301</v>
      </c>
      <c r="D2288" s="3">
        <v>0.55833333333333335</v>
      </c>
      <c r="E2288" s="3">
        <v>0.79583333333333339</v>
      </c>
      <c r="F2288" s="4"/>
      <c r="G2288" s="4"/>
      <c r="H2288" s="3">
        <v>0.375</v>
      </c>
      <c r="I2288" s="3">
        <v>0.36805555555555558</v>
      </c>
      <c r="J2288" s="4"/>
      <c r="K2288" s="4"/>
      <c r="L2288" s="4"/>
      <c r="M2288" s="4"/>
      <c r="N2288" s="4"/>
      <c r="O2288" s="3">
        <v>6.9444444444444441E-3</v>
      </c>
      <c r="P2288" s="4"/>
    </row>
    <row r="2289" spans="1:16" x14ac:dyDescent="0.25">
      <c r="A2289" s="4" t="s">
        <v>244</v>
      </c>
      <c r="B2289" s="4" t="s">
        <v>265</v>
      </c>
      <c r="C2289" s="4" t="s">
        <v>265</v>
      </c>
      <c r="D2289" s="4" t="s">
        <v>265</v>
      </c>
      <c r="E2289" s="4" t="s">
        <v>265</v>
      </c>
      <c r="F2289" s="4"/>
      <c r="G2289" s="4"/>
      <c r="H2289" s="4"/>
      <c r="I2289" s="4"/>
      <c r="J2289" s="4"/>
      <c r="K2289" s="4"/>
      <c r="L2289" s="4"/>
      <c r="M2289" s="4"/>
      <c r="N2289" s="4"/>
      <c r="O2289" s="4"/>
      <c r="P2289" s="4"/>
    </row>
    <row r="2290" spans="1:16" x14ac:dyDescent="0.25">
      <c r="A2290" s="4" t="s">
        <v>245</v>
      </c>
      <c r="B2290" s="4" t="s">
        <v>52</v>
      </c>
      <c r="C2290" s="4" t="s">
        <v>52</v>
      </c>
      <c r="D2290" s="4" t="s">
        <v>52</v>
      </c>
      <c r="E2290" s="4" t="s">
        <v>52</v>
      </c>
      <c r="F2290" s="4"/>
      <c r="G2290" s="4"/>
      <c r="H2290" s="3">
        <v>0.375</v>
      </c>
      <c r="I2290" s="3">
        <v>0.375</v>
      </c>
      <c r="J2290" s="3">
        <v>0.375</v>
      </c>
      <c r="K2290" s="4"/>
      <c r="L2290" s="4"/>
      <c r="M2290" s="4"/>
      <c r="N2290" s="4"/>
      <c r="O2290" s="4"/>
      <c r="P2290" s="4"/>
    </row>
    <row r="2291" spans="1:16" x14ac:dyDescent="0.25">
      <c r="A2291" s="4" t="s">
        <v>246</v>
      </c>
      <c r="B2291" s="4" t="s">
        <v>25</v>
      </c>
      <c r="C2291" s="4" t="s">
        <v>25</v>
      </c>
      <c r="D2291" s="4" t="s">
        <v>25</v>
      </c>
      <c r="E2291" s="4" t="s">
        <v>25</v>
      </c>
      <c r="F2291" s="4" t="s">
        <v>25</v>
      </c>
      <c r="G2291" s="4" t="s">
        <v>25</v>
      </c>
      <c r="H2291" s="4"/>
      <c r="I2291" s="4"/>
      <c r="J2291" s="4"/>
      <c r="K2291" s="4"/>
      <c r="L2291" s="4"/>
      <c r="M2291" s="4"/>
      <c r="N2291" s="4"/>
      <c r="O2291" s="4"/>
      <c r="P2291" s="4"/>
    </row>
    <row r="2292" spans="1:16" x14ac:dyDescent="0.25">
      <c r="A2292" s="4" t="s">
        <v>247</v>
      </c>
      <c r="B2292" s="4" t="s">
        <v>25</v>
      </c>
      <c r="C2292" s="4" t="s">
        <v>25</v>
      </c>
      <c r="D2292" s="4" t="s">
        <v>25</v>
      </c>
      <c r="E2292" s="4" t="s">
        <v>25</v>
      </c>
      <c r="F2292" s="4" t="s">
        <v>25</v>
      </c>
      <c r="G2292" s="4" t="s">
        <v>25</v>
      </c>
      <c r="H2292" s="4"/>
      <c r="I2292" s="4"/>
      <c r="J2292" s="4"/>
      <c r="K2292" s="4"/>
      <c r="L2292" s="4"/>
      <c r="M2292" s="4"/>
      <c r="N2292" s="4"/>
      <c r="O2292" s="4"/>
      <c r="P2292" s="4"/>
    </row>
    <row r="2293" spans="1:16" x14ac:dyDescent="0.25">
      <c r="A2293" s="4" t="s">
        <v>248</v>
      </c>
      <c r="B2293" s="3">
        <v>0.38819444444444445</v>
      </c>
      <c r="C2293" s="3">
        <v>0.54652777777777783</v>
      </c>
      <c r="D2293" s="3">
        <v>0.57638888888888895</v>
      </c>
      <c r="E2293" s="3">
        <v>0.76041666666666663</v>
      </c>
      <c r="F2293" s="4"/>
      <c r="G2293" s="4"/>
      <c r="H2293" s="3">
        <v>0.33333333333333331</v>
      </c>
      <c r="I2293" s="3">
        <v>0.33333333333333331</v>
      </c>
      <c r="J2293" s="4"/>
      <c r="K2293" s="4"/>
      <c r="L2293" s="4"/>
      <c r="M2293" s="4"/>
      <c r="N2293" s="4"/>
      <c r="O2293" s="4"/>
      <c r="P2293" s="3">
        <v>9.0277777777777787E-3</v>
      </c>
    </row>
    <row r="2294" spans="1:16" x14ac:dyDescent="0.25">
      <c r="A2294" s="4" t="s">
        <v>249</v>
      </c>
      <c r="B2294" s="3">
        <v>0.3840277777777778</v>
      </c>
      <c r="C2294" s="3">
        <v>0.51041666666666663</v>
      </c>
      <c r="D2294" s="4" t="s">
        <v>52</v>
      </c>
      <c r="E2294" s="4" t="s">
        <v>52</v>
      </c>
      <c r="F2294" s="4"/>
      <c r="G2294" s="4"/>
      <c r="H2294" s="3">
        <v>0.375</v>
      </c>
      <c r="I2294" s="3">
        <v>0.375</v>
      </c>
      <c r="J2294" s="3">
        <v>0.25</v>
      </c>
      <c r="K2294" s="4"/>
      <c r="L2294" s="4"/>
      <c r="M2294" s="4"/>
      <c r="N2294" s="4"/>
      <c r="O2294" s="4"/>
      <c r="P2294" s="4"/>
    </row>
    <row r="2295" spans="1:16" x14ac:dyDescent="0.25">
      <c r="A2295" s="4" t="s">
        <v>251</v>
      </c>
      <c r="B2295" s="4" t="s">
        <v>52</v>
      </c>
      <c r="C2295" s="4" t="s">
        <v>52</v>
      </c>
      <c r="D2295" s="4" t="s">
        <v>52</v>
      </c>
      <c r="E2295" s="4" t="s">
        <v>52</v>
      </c>
      <c r="F2295" s="4"/>
      <c r="G2295" s="4"/>
      <c r="H2295" s="3">
        <v>0.375</v>
      </c>
      <c r="I2295" s="3">
        <v>0.375</v>
      </c>
      <c r="J2295" s="3">
        <v>0.375</v>
      </c>
      <c r="K2295" s="4"/>
      <c r="L2295" s="4"/>
      <c r="M2295" s="4"/>
      <c r="N2295" s="4"/>
      <c r="O2295" s="4"/>
      <c r="P2295" s="4"/>
    </row>
    <row r="2296" spans="1:16" x14ac:dyDescent="0.25">
      <c r="A2296" s="4" t="s">
        <v>256</v>
      </c>
      <c r="B2296" s="4" t="s">
        <v>52</v>
      </c>
      <c r="C2296" s="4" t="s">
        <v>52</v>
      </c>
      <c r="D2296" s="4" t="s">
        <v>52</v>
      </c>
      <c r="E2296" s="4" t="s">
        <v>52</v>
      </c>
      <c r="F2296" s="4"/>
      <c r="G2296" s="4"/>
      <c r="H2296" s="3">
        <v>0.375</v>
      </c>
      <c r="I2296" s="3">
        <v>0.375</v>
      </c>
      <c r="J2296" s="3">
        <v>0.375</v>
      </c>
      <c r="K2296" s="4"/>
      <c r="L2296" s="4"/>
      <c r="M2296" s="4"/>
      <c r="N2296" s="4"/>
      <c r="O2296" s="4"/>
      <c r="P2296" s="4"/>
    </row>
    <row r="2297" spans="1:16" x14ac:dyDescent="0.25">
      <c r="A2297" s="4" t="s">
        <v>259</v>
      </c>
      <c r="B2297" s="3">
        <v>0.3840277777777778</v>
      </c>
      <c r="C2297" s="3">
        <v>0.5541666666666667</v>
      </c>
      <c r="D2297" s="3">
        <v>0.6</v>
      </c>
      <c r="E2297" s="3">
        <v>0.80208333333333337</v>
      </c>
      <c r="F2297" s="4"/>
      <c r="G2297" s="4"/>
      <c r="H2297" s="3">
        <v>0.375</v>
      </c>
      <c r="I2297" s="3">
        <v>0.375</v>
      </c>
      <c r="J2297" s="4"/>
      <c r="K2297" s="4"/>
      <c r="L2297" s="4"/>
      <c r="M2297" s="4"/>
      <c r="N2297" s="4"/>
      <c r="O2297" s="4"/>
      <c r="P2297" s="4"/>
    </row>
    <row r="2298" spans="1:16" x14ac:dyDescent="0.25">
      <c r="A2298" s="4" t="s">
        <v>260</v>
      </c>
      <c r="B2298" s="4" t="s">
        <v>25</v>
      </c>
      <c r="C2298" s="4" t="s">
        <v>25</v>
      </c>
      <c r="D2298" s="4" t="s">
        <v>25</v>
      </c>
      <c r="E2298" s="4" t="s">
        <v>25</v>
      </c>
      <c r="F2298" s="4" t="s">
        <v>25</v>
      </c>
      <c r="G2298" s="4" t="s">
        <v>25</v>
      </c>
      <c r="H2298" s="4"/>
      <c r="I2298" s="4"/>
      <c r="J2298" s="4"/>
      <c r="K2298" s="4"/>
      <c r="L2298" s="4"/>
      <c r="M2298" s="4"/>
      <c r="N2298" s="4"/>
      <c r="O2298" s="4"/>
      <c r="P2298" s="4"/>
    </row>
    <row r="2299" spans="1:16" x14ac:dyDescent="0.25">
      <c r="A2299" s="4" t="s">
        <v>261</v>
      </c>
      <c r="B2299" s="4" t="s">
        <v>25</v>
      </c>
      <c r="C2299" s="4" t="s">
        <v>25</v>
      </c>
      <c r="D2299" s="4" t="s">
        <v>25</v>
      </c>
      <c r="E2299" s="4" t="s">
        <v>25</v>
      </c>
      <c r="F2299" s="4" t="s">
        <v>25</v>
      </c>
      <c r="G2299" s="4" t="s">
        <v>25</v>
      </c>
      <c r="H2299" s="4"/>
      <c r="I2299" s="4"/>
      <c r="J2299" s="4"/>
      <c r="K2299" s="4"/>
      <c r="L2299" s="4"/>
      <c r="M2299" s="4"/>
      <c r="N2299" s="4"/>
      <c r="O2299" s="4"/>
      <c r="P2299" s="4"/>
    </row>
    <row r="2300" spans="1:16" x14ac:dyDescent="0.25">
      <c r="A2300" s="4" t="s">
        <v>262</v>
      </c>
      <c r="B2300" s="3">
        <v>0.38680555555555557</v>
      </c>
      <c r="C2300" s="3">
        <v>0.54375000000000007</v>
      </c>
      <c r="D2300" s="3">
        <v>0.57222222222222219</v>
      </c>
      <c r="E2300" s="3">
        <v>0.75624999999999998</v>
      </c>
      <c r="F2300" s="4"/>
      <c r="G2300" s="4"/>
      <c r="H2300" s="3">
        <v>0.33333333333333331</v>
      </c>
      <c r="I2300" s="3">
        <v>0.33333333333333331</v>
      </c>
      <c r="J2300" s="4"/>
      <c r="K2300" s="4"/>
      <c r="L2300" s="4"/>
      <c r="M2300" s="4"/>
      <c r="N2300" s="4"/>
      <c r="O2300" s="4"/>
      <c r="P2300" s="3">
        <v>7.6388888888888886E-3</v>
      </c>
    </row>
    <row r="2301" spans="1:16" x14ac:dyDescent="0.25">
      <c r="A2301" s="4" t="s">
        <v>263</v>
      </c>
      <c r="B2301" s="3">
        <v>0.37916666666666665</v>
      </c>
      <c r="C2301" s="3">
        <v>0.52638888888888891</v>
      </c>
      <c r="D2301" s="3">
        <v>0.56805555555555554</v>
      </c>
      <c r="E2301" s="3">
        <v>0.8027777777777777</v>
      </c>
      <c r="F2301" s="4"/>
      <c r="G2301" s="4"/>
      <c r="H2301" s="3">
        <v>0.375</v>
      </c>
      <c r="I2301" s="3">
        <v>0.375</v>
      </c>
      <c r="J2301" s="4"/>
      <c r="K2301" s="4"/>
      <c r="L2301" s="4"/>
      <c r="M2301" s="4"/>
      <c r="N2301" s="4"/>
      <c r="O2301" s="4"/>
      <c r="P2301" s="3">
        <v>6.9444444444444441E-3</v>
      </c>
    </row>
    <row r="2302" spans="1:16" x14ac:dyDescent="0.25">
      <c r="A2302" s="4" t="s">
        <v>264</v>
      </c>
      <c r="B2302" s="3">
        <v>0.39583333333333331</v>
      </c>
      <c r="C2302" s="3">
        <v>0.5229166666666667</v>
      </c>
      <c r="D2302" s="3">
        <v>0.55694444444444446</v>
      </c>
      <c r="E2302" s="3">
        <v>0.79513888888888884</v>
      </c>
      <c r="F2302" s="4"/>
      <c r="G2302" s="4"/>
      <c r="H2302" s="3">
        <v>0.375</v>
      </c>
      <c r="I2302" s="3">
        <v>0.36180555555555555</v>
      </c>
      <c r="J2302" s="4"/>
      <c r="K2302" s="4"/>
      <c r="L2302" s="4"/>
      <c r="M2302" s="4"/>
      <c r="N2302" s="4"/>
      <c r="O2302" s="3">
        <v>1.3194444444444444E-2</v>
      </c>
      <c r="P2302" s="4"/>
    </row>
    <row r="2304" spans="1:16" x14ac:dyDescent="0.25">
      <c r="A2304" s="7" t="s">
        <v>45</v>
      </c>
    </row>
    <row r="2307" spans="1:13" x14ac:dyDescent="0.25">
      <c r="A2307" s="7" t="s">
        <v>46</v>
      </c>
    </row>
    <row r="2308" spans="1:13" x14ac:dyDescent="0.25">
      <c r="A2308" s="7" t="s">
        <v>122</v>
      </c>
      <c r="F2308" s="7" t="s">
        <v>47</v>
      </c>
    </row>
    <row r="2309" spans="1:13" x14ac:dyDescent="0.25">
      <c r="F2309" s="7"/>
    </row>
    <row r="2313" spans="1:13" x14ac:dyDescent="0.25">
      <c r="G2313" s="1" t="s">
        <v>18</v>
      </c>
    </row>
    <row r="2314" spans="1:13" x14ac:dyDescent="0.25">
      <c r="A2314" s="1" t="s">
        <v>1</v>
      </c>
      <c r="B2314" t="s">
        <v>2</v>
      </c>
      <c r="H2314" s="1" t="s">
        <v>19</v>
      </c>
      <c r="I2314" s="1" t="s">
        <v>20</v>
      </c>
      <c r="J2314" s="1" t="s">
        <v>21</v>
      </c>
      <c r="K2314" s="1" t="s">
        <v>22</v>
      </c>
      <c r="L2314" s="1" t="s">
        <v>23</v>
      </c>
      <c r="M2314" s="1" t="s">
        <v>24</v>
      </c>
    </row>
    <row r="2315" spans="1:13" x14ac:dyDescent="0.25">
      <c r="A2315" s="1" t="s">
        <v>3</v>
      </c>
      <c r="B2315" t="s">
        <v>4</v>
      </c>
      <c r="G2315" s="1" t="s">
        <v>220</v>
      </c>
      <c r="H2315" s="3">
        <v>0.54166666666666663</v>
      </c>
      <c r="I2315" s="3">
        <v>0.79166666666666663</v>
      </c>
      <c r="J2315" s="3">
        <v>0.83333333333333337</v>
      </c>
      <c r="K2315" s="3">
        <v>0.91666666666666663</v>
      </c>
      <c r="L2315" s="4"/>
      <c r="M2315" s="4"/>
    </row>
    <row r="2316" spans="1:13" x14ac:dyDescent="0.25">
      <c r="A2316" s="1" t="s">
        <v>5</v>
      </c>
      <c r="B2316" t="s">
        <v>6</v>
      </c>
      <c r="G2316" s="1" t="s">
        <v>221</v>
      </c>
      <c r="H2316" s="3">
        <v>0.5</v>
      </c>
      <c r="I2316" s="3">
        <v>0.79166666666666663</v>
      </c>
      <c r="J2316" s="3">
        <v>0.83333333333333337</v>
      </c>
      <c r="K2316" s="3">
        <v>0.91666666666666663</v>
      </c>
      <c r="L2316" s="4"/>
      <c r="M2316" s="4"/>
    </row>
    <row r="2317" spans="1:13" x14ac:dyDescent="0.25">
      <c r="G2317" s="1" t="s">
        <v>222</v>
      </c>
      <c r="H2317" s="3">
        <v>0.5</v>
      </c>
      <c r="I2317" s="3">
        <v>0.79166666666666663</v>
      </c>
      <c r="J2317" s="3">
        <v>0.83333333333333337</v>
      </c>
      <c r="K2317" s="3">
        <v>0.91666666666666663</v>
      </c>
      <c r="L2317" s="4"/>
      <c r="M2317" s="4"/>
    </row>
    <row r="2318" spans="1:13" x14ac:dyDescent="0.25">
      <c r="A2318" s="1" t="s">
        <v>7</v>
      </c>
      <c r="B2318" t="s">
        <v>124</v>
      </c>
      <c r="G2318" s="1" t="s">
        <v>223</v>
      </c>
      <c r="H2318" s="3">
        <v>0.5</v>
      </c>
      <c r="I2318" s="3">
        <v>0.79166666666666663</v>
      </c>
      <c r="J2318" s="3">
        <v>0.83333333333333337</v>
      </c>
      <c r="K2318" s="3">
        <v>0.91666666666666663</v>
      </c>
      <c r="L2318" s="4"/>
      <c r="M2318" s="4"/>
    </row>
    <row r="2319" spans="1:13" x14ac:dyDescent="0.25">
      <c r="A2319" s="1" t="s">
        <v>9</v>
      </c>
      <c r="B2319" t="s">
        <v>125</v>
      </c>
      <c r="D2319" s="1" t="s">
        <v>11</v>
      </c>
      <c r="E2319" t="s">
        <v>125</v>
      </c>
      <c r="G2319" s="1" t="s">
        <v>224</v>
      </c>
      <c r="H2319" s="3">
        <v>0.5</v>
      </c>
      <c r="I2319" s="3">
        <v>0.79166666666666663</v>
      </c>
      <c r="J2319" s="3">
        <v>0.83333333333333337</v>
      </c>
      <c r="K2319" s="3">
        <v>0.91666666666666663</v>
      </c>
      <c r="L2319" s="4"/>
      <c r="M2319" s="4"/>
    </row>
    <row r="2320" spans="1:13" x14ac:dyDescent="0.25">
      <c r="A2320" s="1" t="s">
        <v>12</v>
      </c>
      <c r="D2320" s="1" t="s">
        <v>13</v>
      </c>
      <c r="E2320" s="2">
        <v>42690</v>
      </c>
      <c r="G2320" s="1" t="s">
        <v>225</v>
      </c>
      <c r="H2320" s="4" t="s">
        <v>25</v>
      </c>
      <c r="I2320" s="4" t="s">
        <v>25</v>
      </c>
      <c r="J2320" s="4" t="s">
        <v>25</v>
      </c>
      <c r="K2320" s="4" t="s">
        <v>25</v>
      </c>
      <c r="L2320" s="4" t="s">
        <v>25</v>
      </c>
      <c r="M2320" s="4" t="s">
        <v>25</v>
      </c>
    </row>
    <row r="2321" spans="1:16" x14ac:dyDescent="0.25">
      <c r="A2321" s="1" t="s">
        <v>14</v>
      </c>
      <c r="B2321" t="s">
        <v>126</v>
      </c>
      <c r="G2321" s="1" t="s">
        <v>226</v>
      </c>
      <c r="H2321" s="4" t="s">
        <v>25</v>
      </c>
      <c r="I2321" s="4" t="s">
        <v>25</v>
      </c>
      <c r="J2321" s="4" t="s">
        <v>25</v>
      </c>
      <c r="K2321" s="4" t="s">
        <v>25</v>
      </c>
      <c r="L2321" s="4" t="s">
        <v>25</v>
      </c>
      <c r="M2321" s="4" t="s">
        <v>25</v>
      </c>
    </row>
    <row r="2322" spans="1:16" x14ac:dyDescent="0.25">
      <c r="A2322" s="1" t="s">
        <v>16</v>
      </c>
      <c r="B2322" t="s">
        <v>17</v>
      </c>
    </row>
    <row r="2325" spans="1:16" x14ac:dyDescent="0.25">
      <c r="A2325" s="5" t="s">
        <v>26</v>
      </c>
      <c r="B2325" s="5" t="s">
        <v>27</v>
      </c>
      <c r="C2325" s="5" t="s">
        <v>28</v>
      </c>
      <c r="D2325" s="5" t="s">
        <v>29</v>
      </c>
      <c r="E2325" s="5" t="s">
        <v>30</v>
      </c>
      <c r="F2325" s="5" t="s">
        <v>31</v>
      </c>
      <c r="G2325" s="5" t="s">
        <v>32</v>
      </c>
      <c r="H2325" s="5" t="s">
        <v>33</v>
      </c>
      <c r="I2325" s="5" t="s">
        <v>34</v>
      </c>
      <c r="J2325" s="5" t="s">
        <v>35</v>
      </c>
      <c r="K2325" s="5" t="s">
        <v>36</v>
      </c>
      <c r="L2325" s="5" t="s">
        <v>37</v>
      </c>
      <c r="M2325" s="5" t="s">
        <v>38</v>
      </c>
      <c r="N2325" s="5" t="s">
        <v>39</v>
      </c>
      <c r="O2325" s="5" t="s">
        <v>40</v>
      </c>
      <c r="P2325" s="5" t="s">
        <v>41</v>
      </c>
    </row>
    <row r="2326" spans="1:16" x14ac:dyDescent="0.25">
      <c r="A2326" s="4"/>
      <c r="B2326" s="4"/>
      <c r="C2326" s="4"/>
      <c r="D2326" s="4"/>
      <c r="E2326" s="4"/>
      <c r="F2326" s="4"/>
      <c r="G2326" s="4"/>
      <c r="H2326" s="6">
        <v>8.0416666666666661</v>
      </c>
      <c r="I2326" s="6">
        <v>8.0256944444444454</v>
      </c>
      <c r="J2326" s="6">
        <v>2.9166666666666665</v>
      </c>
      <c r="K2326" s="3">
        <v>0</v>
      </c>
      <c r="L2326" s="3">
        <v>0</v>
      </c>
      <c r="M2326" s="3">
        <v>0</v>
      </c>
      <c r="N2326" s="3">
        <v>1.1805555555555555E-2</v>
      </c>
      <c r="O2326" s="3">
        <v>1.5972222222222224E-2</v>
      </c>
      <c r="P2326" s="3">
        <v>0.3444444444444445</v>
      </c>
    </row>
    <row r="2327" spans="1:16" x14ac:dyDescent="0.25">
      <c r="A2327" s="4" t="s">
        <v>227</v>
      </c>
      <c r="B2327" s="3">
        <v>0.54236111111111118</v>
      </c>
      <c r="C2327" s="3">
        <v>0.74861111111111101</v>
      </c>
      <c r="D2327" s="3">
        <v>0.79236111111111107</v>
      </c>
      <c r="E2327" s="3">
        <v>0.90972222222222221</v>
      </c>
      <c r="F2327" s="4"/>
      <c r="G2327" s="4"/>
      <c r="H2327" s="3">
        <v>0.33333333333333331</v>
      </c>
      <c r="I2327" s="3">
        <v>0.32430555555555557</v>
      </c>
      <c r="J2327" s="4"/>
      <c r="K2327" s="4"/>
      <c r="L2327" s="4"/>
      <c r="M2327" s="4"/>
      <c r="N2327" s="4"/>
      <c r="O2327" s="3">
        <v>9.0277777777777787E-3</v>
      </c>
      <c r="P2327" s="4"/>
    </row>
    <row r="2328" spans="1:16" x14ac:dyDescent="0.25">
      <c r="A2328" s="4" t="s">
        <v>228</v>
      </c>
      <c r="B2328" s="3">
        <v>0.50277777777777777</v>
      </c>
      <c r="C2328" s="3">
        <v>0.75624999999999998</v>
      </c>
      <c r="D2328" s="3">
        <v>0.79722222222222217</v>
      </c>
      <c r="E2328" s="3">
        <v>0.91249999999999998</v>
      </c>
      <c r="F2328" s="4"/>
      <c r="G2328" s="4"/>
      <c r="H2328" s="3">
        <v>0.375</v>
      </c>
      <c r="I2328" s="3">
        <v>0.375</v>
      </c>
      <c r="J2328" s="4"/>
      <c r="K2328" s="4"/>
      <c r="L2328" s="4"/>
      <c r="M2328" s="4"/>
      <c r="N2328" s="4"/>
      <c r="O2328" s="4"/>
      <c r="P2328" s="4"/>
    </row>
    <row r="2329" spans="1:16" x14ac:dyDescent="0.25">
      <c r="A2329" s="4" t="s">
        <v>229</v>
      </c>
      <c r="B2329" s="3">
        <v>0.49791666666666662</v>
      </c>
      <c r="C2329" s="3">
        <v>0.75694444444444453</v>
      </c>
      <c r="D2329" s="3">
        <v>0.79722222222222217</v>
      </c>
      <c r="E2329" s="3">
        <v>0.91111111111111109</v>
      </c>
      <c r="F2329" s="4"/>
      <c r="G2329" s="4"/>
      <c r="H2329" s="3">
        <v>0.375</v>
      </c>
      <c r="I2329" s="3">
        <v>0.375</v>
      </c>
      <c r="J2329" s="4"/>
      <c r="K2329" s="4"/>
      <c r="L2329" s="4"/>
      <c r="M2329" s="4"/>
      <c r="N2329" s="4"/>
      <c r="O2329" s="4"/>
      <c r="P2329" s="4"/>
    </row>
    <row r="2330" spans="1:16" x14ac:dyDescent="0.25">
      <c r="A2330" s="4" t="s">
        <v>230</v>
      </c>
      <c r="B2330" s="3">
        <v>0.49861111111111112</v>
      </c>
      <c r="C2330" s="3">
        <v>0.7715277777777777</v>
      </c>
      <c r="D2330" s="3">
        <v>0.81041666666666667</v>
      </c>
      <c r="E2330" s="3">
        <v>0.92013888888888884</v>
      </c>
      <c r="F2330" s="4"/>
      <c r="G2330" s="4"/>
      <c r="H2330" s="3">
        <v>0.375</v>
      </c>
      <c r="I2330" s="3">
        <v>0.375</v>
      </c>
      <c r="J2330" s="4"/>
      <c r="K2330" s="4"/>
      <c r="L2330" s="4"/>
      <c r="M2330" s="4"/>
      <c r="N2330" s="4"/>
      <c r="O2330" s="4"/>
      <c r="P2330" s="4"/>
    </row>
    <row r="2331" spans="1:16" x14ac:dyDescent="0.25">
      <c r="A2331" s="4" t="s">
        <v>231</v>
      </c>
      <c r="B2331" s="3">
        <v>0.50694444444444442</v>
      </c>
      <c r="C2331" s="3">
        <v>0.75138888888888899</v>
      </c>
      <c r="D2331" s="3">
        <v>0.78749999999999998</v>
      </c>
      <c r="E2331" s="3">
        <v>0.91111111111111109</v>
      </c>
      <c r="F2331" s="4"/>
      <c r="G2331" s="4"/>
      <c r="H2331" s="3">
        <v>0.375</v>
      </c>
      <c r="I2331" s="3">
        <v>0.36805555555555558</v>
      </c>
      <c r="J2331" s="4"/>
      <c r="K2331" s="4"/>
      <c r="L2331" s="4"/>
      <c r="M2331" s="4"/>
      <c r="N2331" s="4"/>
      <c r="O2331" s="3">
        <v>6.9444444444444441E-3</v>
      </c>
      <c r="P2331" s="4"/>
    </row>
    <row r="2332" spans="1:16" x14ac:dyDescent="0.25">
      <c r="A2332" s="4" t="s">
        <v>232</v>
      </c>
      <c r="B2332" s="4" t="s">
        <v>25</v>
      </c>
      <c r="C2332" s="4" t="s">
        <v>25</v>
      </c>
      <c r="D2332" s="4" t="s">
        <v>25</v>
      </c>
      <c r="E2332" s="4" t="s">
        <v>25</v>
      </c>
      <c r="F2332" s="4" t="s">
        <v>25</v>
      </c>
      <c r="G2332" s="4" t="s">
        <v>25</v>
      </c>
      <c r="H2332" s="4"/>
      <c r="I2332" s="4"/>
      <c r="J2332" s="4"/>
      <c r="K2332" s="4"/>
      <c r="L2332" s="4"/>
      <c r="M2332" s="4"/>
      <c r="N2332" s="4"/>
      <c r="O2332" s="4"/>
      <c r="P2332" s="4"/>
    </row>
    <row r="2333" spans="1:16" x14ac:dyDescent="0.25">
      <c r="A2333" s="4" t="s">
        <v>233</v>
      </c>
      <c r="B2333" s="4" t="s">
        <v>25</v>
      </c>
      <c r="C2333" s="4" t="s">
        <v>25</v>
      </c>
      <c r="D2333" s="4" t="s">
        <v>25</v>
      </c>
      <c r="E2333" s="4" t="s">
        <v>25</v>
      </c>
      <c r="F2333" s="4" t="s">
        <v>25</v>
      </c>
      <c r="G2333" s="4" t="s">
        <v>25</v>
      </c>
      <c r="H2333" s="4"/>
      <c r="I2333" s="4"/>
      <c r="J2333" s="4"/>
      <c r="K2333" s="4"/>
      <c r="L2333" s="4"/>
      <c r="M2333" s="4"/>
      <c r="N2333" s="4"/>
      <c r="O2333" s="4"/>
      <c r="P2333" s="4"/>
    </row>
    <row r="2334" spans="1:16" x14ac:dyDescent="0.25">
      <c r="A2334" s="4" t="s">
        <v>234</v>
      </c>
      <c r="B2334" s="3">
        <v>0.53472222222222221</v>
      </c>
      <c r="C2334" s="3">
        <v>0.76111111111111107</v>
      </c>
      <c r="D2334" s="3">
        <v>0.80347222222222225</v>
      </c>
      <c r="E2334" s="3">
        <v>0.91527777777777775</v>
      </c>
      <c r="F2334" s="4"/>
      <c r="G2334" s="4"/>
      <c r="H2334" s="3">
        <v>0.33333333333333331</v>
      </c>
      <c r="I2334" s="3">
        <v>0.33333333333333331</v>
      </c>
      <c r="J2334" s="4"/>
      <c r="K2334" s="4"/>
      <c r="L2334" s="4"/>
      <c r="M2334" s="4"/>
      <c r="N2334" s="4"/>
      <c r="O2334" s="4"/>
      <c r="P2334" s="4"/>
    </row>
    <row r="2335" spans="1:16" x14ac:dyDescent="0.25">
      <c r="A2335" s="4" t="s">
        <v>235</v>
      </c>
      <c r="B2335" s="3">
        <v>0.5</v>
      </c>
      <c r="C2335" s="3">
        <v>0.76250000000000007</v>
      </c>
      <c r="D2335" s="3">
        <v>0.80138888888888893</v>
      </c>
      <c r="E2335" s="3">
        <v>0.91388888888888886</v>
      </c>
      <c r="F2335" s="4"/>
      <c r="G2335" s="4"/>
      <c r="H2335" s="3">
        <v>0.375</v>
      </c>
      <c r="I2335" s="3">
        <v>0.375</v>
      </c>
      <c r="J2335" s="4"/>
      <c r="K2335" s="4"/>
      <c r="L2335" s="4"/>
      <c r="M2335" s="4"/>
      <c r="N2335" s="4"/>
      <c r="O2335" s="4"/>
      <c r="P2335" s="4"/>
    </row>
    <row r="2336" spans="1:16" x14ac:dyDescent="0.25">
      <c r="A2336" s="4" t="s">
        <v>236</v>
      </c>
      <c r="B2336" s="3">
        <v>0.50486111111111109</v>
      </c>
      <c r="C2336" s="3">
        <v>0.8041666666666667</v>
      </c>
      <c r="D2336" s="3">
        <v>0.84722222222222221</v>
      </c>
      <c r="E2336" s="3">
        <v>0.91319444444444453</v>
      </c>
      <c r="F2336" s="4"/>
      <c r="G2336" s="4"/>
      <c r="H2336" s="3">
        <v>0.375</v>
      </c>
      <c r="I2336" s="3">
        <v>0.375</v>
      </c>
      <c r="J2336" s="4"/>
      <c r="K2336" s="4"/>
      <c r="L2336" s="4"/>
      <c r="M2336" s="4"/>
      <c r="N2336" s="4"/>
      <c r="O2336" s="4"/>
      <c r="P2336" s="4"/>
    </row>
    <row r="2337" spans="1:16" x14ac:dyDescent="0.25">
      <c r="A2337" s="4" t="s">
        <v>237</v>
      </c>
      <c r="B2337" s="3">
        <v>0.50416666666666665</v>
      </c>
      <c r="C2337" s="3">
        <v>0.80694444444444446</v>
      </c>
      <c r="D2337" s="3">
        <v>0.84791666666666676</v>
      </c>
      <c r="E2337" s="3">
        <v>0.91527777777777775</v>
      </c>
      <c r="F2337" s="4"/>
      <c r="G2337" s="4"/>
      <c r="H2337" s="3">
        <v>0.375</v>
      </c>
      <c r="I2337" s="3">
        <v>0.375</v>
      </c>
      <c r="J2337" s="4"/>
      <c r="K2337" s="4"/>
      <c r="L2337" s="4"/>
      <c r="M2337" s="4"/>
      <c r="N2337" s="4"/>
      <c r="O2337" s="4"/>
      <c r="P2337" s="4"/>
    </row>
    <row r="2338" spans="1:16" x14ac:dyDescent="0.25">
      <c r="A2338" s="4" t="s">
        <v>238</v>
      </c>
      <c r="B2338" s="3">
        <v>0.5</v>
      </c>
      <c r="C2338" s="3">
        <v>0.72222222222222221</v>
      </c>
      <c r="D2338" s="3">
        <v>0.76458333333333339</v>
      </c>
      <c r="E2338" s="3">
        <v>0.92847222222222225</v>
      </c>
      <c r="F2338" s="4"/>
      <c r="G2338" s="4"/>
      <c r="H2338" s="3">
        <v>0.375</v>
      </c>
      <c r="I2338" s="3">
        <v>0.375</v>
      </c>
      <c r="J2338" s="4"/>
      <c r="K2338" s="4"/>
      <c r="L2338" s="4"/>
      <c r="M2338" s="4"/>
      <c r="N2338" s="3">
        <v>1.1805555555555555E-2</v>
      </c>
      <c r="O2338" s="4"/>
      <c r="P2338" s="3">
        <v>1.1111111111111112E-2</v>
      </c>
    </row>
    <row r="2339" spans="1:16" x14ac:dyDescent="0.25">
      <c r="A2339" s="4" t="s">
        <v>239</v>
      </c>
      <c r="B2339" s="4" t="s">
        <v>25</v>
      </c>
      <c r="C2339" s="4" t="s">
        <v>25</v>
      </c>
      <c r="D2339" s="4" t="s">
        <v>25</v>
      </c>
      <c r="E2339" s="4" t="s">
        <v>25</v>
      </c>
      <c r="F2339" s="4" t="s">
        <v>25</v>
      </c>
      <c r="G2339" s="4" t="s">
        <v>25</v>
      </c>
      <c r="H2339" s="4"/>
      <c r="I2339" s="4"/>
      <c r="J2339" s="4"/>
      <c r="K2339" s="4"/>
      <c r="L2339" s="4"/>
      <c r="M2339" s="4"/>
      <c r="N2339" s="4"/>
      <c r="O2339" s="4"/>
      <c r="P2339" s="4"/>
    </row>
    <row r="2340" spans="1:16" x14ac:dyDescent="0.25">
      <c r="A2340" s="4" t="s">
        <v>240</v>
      </c>
      <c r="B2340" s="4" t="s">
        <v>25</v>
      </c>
      <c r="C2340" s="4" t="s">
        <v>25</v>
      </c>
      <c r="D2340" s="4" t="s">
        <v>25</v>
      </c>
      <c r="E2340" s="4" t="s">
        <v>25</v>
      </c>
      <c r="F2340" s="4" t="s">
        <v>25</v>
      </c>
      <c r="G2340" s="4" t="s">
        <v>25</v>
      </c>
      <c r="H2340" s="4"/>
      <c r="I2340" s="4"/>
      <c r="J2340" s="4"/>
      <c r="K2340" s="4"/>
      <c r="L2340" s="4"/>
      <c r="M2340" s="4"/>
      <c r="N2340" s="4"/>
      <c r="O2340" s="4"/>
      <c r="P2340" s="4"/>
    </row>
    <row r="2341" spans="1:16" x14ac:dyDescent="0.25">
      <c r="A2341" s="4" t="s">
        <v>241</v>
      </c>
      <c r="B2341" s="4" t="s">
        <v>302</v>
      </c>
      <c r="C2341" s="4" t="s">
        <v>302</v>
      </c>
      <c r="D2341" s="4" t="s">
        <v>302</v>
      </c>
      <c r="E2341" s="4" t="s">
        <v>302</v>
      </c>
      <c r="F2341" s="4"/>
      <c r="G2341" s="4"/>
      <c r="H2341" s="3">
        <v>0.33333333333333331</v>
      </c>
      <c r="I2341" s="3">
        <v>0.33333333333333331</v>
      </c>
      <c r="J2341" s="3">
        <v>0.33333333333333331</v>
      </c>
      <c r="K2341" s="4"/>
      <c r="L2341" s="4"/>
      <c r="M2341" s="4"/>
      <c r="N2341" s="4"/>
      <c r="O2341" s="4"/>
      <c r="P2341" s="4"/>
    </row>
    <row r="2342" spans="1:16" x14ac:dyDescent="0.25">
      <c r="A2342" s="4" t="s">
        <v>242</v>
      </c>
      <c r="B2342" s="4" t="s">
        <v>302</v>
      </c>
      <c r="C2342" s="4" t="s">
        <v>302</v>
      </c>
      <c r="D2342" s="4" t="s">
        <v>302</v>
      </c>
      <c r="E2342" s="4" t="s">
        <v>302</v>
      </c>
      <c r="F2342" s="4"/>
      <c r="G2342" s="4"/>
      <c r="H2342" s="3">
        <v>0.375</v>
      </c>
      <c r="I2342" s="3">
        <v>0.375</v>
      </c>
      <c r="J2342" s="3">
        <v>0.375</v>
      </c>
      <c r="K2342" s="4"/>
      <c r="L2342" s="4"/>
      <c r="M2342" s="4"/>
      <c r="N2342" s="4"/>
      <c r="O2342" s="4"/>
      <c r="P2342" s="4"/>
    </row>
    <row r="2343" spans="1:16" x14ac:dyDescent="0.25">
      <c r="A2343" s="4" t="s">
        <v>243</v>
      </c>
      <c r="B2343" s="4" t="s">
        <v>302</v>
      </c>
      <c r="C2343" s="4" t="s">
        <v>302</v>
      </c>
      <c r="D2343" s="4" t="s">
        <v>302</v>
      </c>
      <c r="E2343" s="4" t="s">
        <v>302</v>
      </c>
      <c r="F2343" s="4"/>
      <c r="G2343" s="4"/>
      <c r="H2343" s="3">
        <v>0.375</v>
      </c>
      <c r="I2343" s="3">
        <v>0.375</v>
      </c>
      <c r="J2343" s="3">
        <v>0.375</v>
      </c>
      <c r="K2343" s="4"/>
      <c r="L2343" s="4"/>
      <c r="M2343" s="4"/>
      <c r="N2343" s="4"/>
      <c r="O2343" s="4"/>
      <c r="P2343" s="4"/>
    </row>
    <row r="2344" spans="1:16" x14ac:dyDescent="0.25">
      <c r="A2344" s="4" t="s">
        <v>244</v>
      </c>
      <c r="B2344" s="4" t="s">
        <v>265</v>
      </c>
      <c r="C2344" s="4" t="s">
        <v>265</v>
      </c>
      <c r="D2344" s="4" t="s">
        <v>265</v>
      </c>
      <c r="E2344" s="4" t="s">
        <v>265</v>
      </c>
      <c r="F2344" s="4"/>
      <c r="G2344" s="4"/>
      <c r="H2344" s="4"/>
      <c r="I2344" s="4"/>
      <c r="J2344" s="3">
        <v>0.33333333333333331</v>
      </c>
      <c r="K2344" s="4"/>
      <c r="L2344" s="4"/>
      <c r="M2344" s="4"/>
      <c r="N2344" s="4"/>
      <c r="O2344" s="4"/>
      <c r="P2344" s="3">
        <v>0.33333333333333331</v>
      </c>
    </row>
    <row r="2345" spans="1:16" x14ac:dyDescent="0.25">
      <c r="A2345" s="4" t="s">
        <v>245</v>
      </c>
      <c r="B2345" s="4" t="s">
        <v>302</v>
      </c>
      <c r="C2345" s="4" t="s">
        <v>302</v>
      </c>
      <c r="D2345" s="4" t="s">
        <v>302</v>
      </c>
      <c r="E2345" s="4" t="s">
        <v>302</v>
      </c>
      <c r="F2345" s="4"/>
      <c r="G2345" s="4"/>
      <c r="H2345" s="3">
        <v>0.375</v>
      </c>
      <c r="I2345" s="3">
        <v>0.375</v>
      </c>
      <c r="J2345" s="3">
        <v>0.375</v>
      </c>
      <c r="K2345" s="4"/>
      <c r="L2345" s="4"/>
      <c r="M2345" s="4"/>
      <c r="N2345" s="4"/>
      <c r="O2345" s="4"/>
      <c r="P2345" s="4"/>
    </row>
    <row r="2346" spans="1:16" x14ac:dyDescent="0.25">
      <c r="A2346" s="4" t="s">
        <v>246</v>
      </c>
      <c r="B2346" s="4" t="s">
        <v>25</v>
      </c>
      <c r="C2346" s="4" t="s">
        <v>25</v>
      </c>
      <c r="D2346" s="4" t="s">
        <v>25</v>
      </c>
      <c r="E2346" s="4" t="s">
        <v>25</v>
      </c>
      <c r="F2346" s="4" t="s">
        <v>25</v>
      </c>
      <c r="G2346" s="4" t="s">
        <v>25</v>
      </c>
      <c r="H2346" s="4"/>
      <c r="I2346" s="4"/>
      <c r="J2346" s="4"/>
      <c r="K2346" s="4"/>
      <c r="L2346" s="4"/>
      <c r="M2346" s="4"/>
      <c r="N2346" s="4"/>
      <c r="O2346" s="4"/>
      <c r="P2346" s="4"/>
    </row>
    <row r="2347" spans="1:16" x14ac:dyDescent="0.25">
      <c r="A2347" s="4" t="s">
        <v>247</v>
      </c>
      <c r="B2347" s="4" t="s">
        <v>25</v>
      </c>
      <c r="C2347" s="4" t="s">
        <v>25</v>
      </c>
      <c r="D2347" s="4" t="s">
        <v>25</v>
      </c>
      <c r="E2347" s="4" t="s">
        <v>25</v>
      </c>
      <c r="F2347" s="4" t="s">
        <v>25</v>
      </c>
      <c r="G2347" s="4" t="s">
        <v>25</v>
      </c>
      <c r="H2347" s="4"/>
      <c r="I2347" s="4"/>
      <c r="J2347" s="4"/>
      <c r="K2347" s="4"/>
      <c r="L2347" s="4"/>
      <c r="M2347" s="4"/>
      <c r="N2347" s="4"/>
      <c r="O2347" s="4"/>
      <c r="P2347" s="4"/>
    </row>
    <row r="2348" spans="1:16" x14ac:dyDescent="0.25">
      <c r="A2348" s="4" t="s">
        <v>248</v>
      </c>
      <c r="B2348" s="3">
        <v>0.54652777777777783</v>
      </c>
      <c r="C2348" s="3">
        <v>0.74305555555555547</v>
      </c>
      <c r="D2348" s="3">
        <v>0.78402777777777777</v>
      </c>
      <c r="E2348" s="3">
        <v>0.91666666666666663</v>
      </c>
      <c r="F2348" s="4"/>
      <c r="G2348" s="4"/>
      <c r="H2348" s="3">
        <v>0.33333333333333331</v>
      </c>
      <c r="I2348" s="3">
        <v>0.33333333333333331</v>
      </c>
      <c r="J2348" s="4"/>
      <c r="K2348" s="4"/>
      <c r="L2348" s="4"/>
      <c r="M2348" s="4"/>
      <c r="N2348" s="4"/>
      <c r="O2348" s="4"/>
      <c r="P2348" s="4"/>
    </row>
    <row r="2349" spans="1:16" x14ac:dyDescent="0.25">
      <c r="A2349" s="4" t="s">
        <v>249</v>
      </c>
      <c r="B2349" s="4" t="s">
        <v>52</v>
      </c>
      <c r="C2349" s="4" t="s">
        <v>52</v>
      </c>
      <c r="D2349" s="4" t="s">
        <v>52</v>
      </c>
      <c r="E2349" s="4" t="s">
        <v>52</v>
      </c>
      <c r="F2349" s="4"/>
      <c r="G2349" s="4"/>
      <c r="H2349" s="3">
        <v>0.375</v>
      </c>
      <c r="I2349" s="3">
        <v>0.375</v>
      </c>
      <c r="J2349" s="3">
        <v>0.375</v>
      </c>
      <c r="K2349" s="4"/>
      <c r="L2349" s="4"/>
      <c r="M2349" s="4"/>
      <c r="N2349" s="4"/>
      <c r="O2349" s="4"/>
      <c r="P2349" s="4"/>
    </row>
    <row r="2350" spans="1:16" x14ac:dyDescent="0.25">
      <c r="A2350" s="4" t="s">
        <v>251</v>
      </c>
      <c r="B2350" s="4" t="s">
        <v>52</v>
      </c>
      <c r="C2350" s="4" t="s">
        <v>52</v>
      </c>
      <c r="D2350" s="4" t="s">
        <v>52</v>
      </c>
      <c r="E2350" s="4" t="s">
        <v>52</v>
      </c>
      <c r="F2350" s="4"/>
      <c r="G2350" s="4"/>
      <c r="H2350" s="3">
        <v>0.375</v>
      </c>
      <c r="I2350" s="3">
        <v>0.375</v>
      </c>
      <c r="J2350" s="3">
        <v>0.375</v>
      </c>
      <c r="K2350" s="4"/>
      <c r="L2350" s="4"/>
      <c r="M2350" s="4"/>
      <c r="N2350" s="4"/>
      <c r="O2350" s="4"/>
      <c r="P2350" s="4"/>
    </row>
    <row r="2351" spans="1:16" x14ac:dyDescent="0.25">
      <c r="A2351" s="4" t="s">
        <v>256</v>
      </c>
      <c r="B2351" s="4" t="s">
        <v>52</v>
      </c>
      <c r="C2351" s="4" t="s">
        <v>52</v>
      </c>
      <c r="D2351" s="4" t="s">
        <v>52</v>
      </c>
      <c r="E2351" s="4" t="s">
        <v>52</v>
      </c>
      <c r="F2351" s="4"/>
      <c r="G2351" s="4"/>
      <c r="H2351" s="3">
        <v>0.375</v>
      </c>
      <c r="I2351" s="3">
        <v>0.375</v>
      </c>
      <c r="J2351" s="3">
        <v>0.375</v>
      </c>
      <c r="K2351" s="4"/>
      <c r="L2351" s="4"/>
      <c r="M2351" s="4"/>
      <c r="N2351" s="4"/>
      <c r="O2351" s="4"/>
      <c r="P2351" s="4"/>
    </row>
    <row r="2352" spans="1:16" x14ac:dyDescent="0.25">
      <c r="A2352" s="4" t="s">
        <v>259</v>
      </c>
      <c r="B2352" s="3">
        <v>0.49305555555555558</v>
      </c>
      <c r="C2352" s="3">
        <v>0.56319444444444444</v>
      </c>
      <c r="D2352" s="3">
        <v>0.60486111111111118</v>
      </c>
      <c r="E2352" s="3">
        <v>0.91249999999999998</v>
      </c>
      <c r="F2352" s="4"/>
      <c r="G2352" s="4"/>
      <c r="H2352" s="3">
        <v>0.375</v>
      </c>
      <c r="I2352" s="3">
        <v>0.375</v>
      </c>
      <c r="J2352" s="4"/>
      <c r="K2352" s="4"/>
      <c r="L2352" s="4"/>
      <c r="M2352" s="4"/>
      <c r="N2352" s="4"/>
      <c r="O2352" s="4"/>
      <c r="P2352" s="4"/>
    </row>
    <row r="2353" spans="1:16" x14ac:dyDescent="0.25">
      <c r="A2353" s="4" t="s">
        <v>260</v>
      </c>
      <c r="B2353" s="4" t="s">
        <v>25</v>
      </c>
      <c r="C2353" s="4" t="s">
        <v>25</v>
      </c>
      <c r="D2353" s="4" t="s">
        <v>25</v>
      </c>
      <c r="E2353" s="4" t="s">
        <v>25</v>
      </c>
      <c r="F2353" s="4" t="s">
        <v>25</v>
      </c>
      <c r="G2353" s="4" t="s">
        <v>25</v>
      </c>
      <c r="H2353" s="4"/>
      <c r="I2353" s="4"/>
      <c r="J2353" s="4"/>
      <c r="K2353" s="4"/>
      <c r="L2353" s="4"/>
      <c r="M2353" s="4"/>
      <c r="N2353" s="4"/>
      <c r="O2353" s="4"/>
      <c r="P2353" s="4"/>
    </row>
    <row r="2354" spans="1:16" x14ac:dyDescent="0.25">
      <c r="A2354" s="4" t="s">
        <v>261</v>
      </c>
      <c r="B2354" s="4" t="s">
        <v>25</v>
      </c>
      <c r="C2354" s="4" t="s">
        <v>25</v>
      </c>
      <c r="D2354" s="4" t="s">
        <v>25</v>
      </c>
      <c r="E2354" s="4" t="s">
        <v>25</v>
      </c>
      <c r="F2354" s="4" t="s">
        <v>25</v>
      </c>
      <c r="G2354" s="4" t="s">
        <v>25</v>
      </c>
      <c r="H2354" s="4"/>
      <c r="I2354" s="4"/>
      <c r="J2354" s="4"/>
      <c r="K2354" s="4"/>
      <c r="L2354" s="4"/>
      <c r="M2354" s="4"/>
      <c r="N2354" s="4"/>
      <c r="O2354" s="4"/>
      <c r="P2354" s="4"/>
    </row>
    <row r="2355" spans="1:16" x14ac:dyDescent="0.25">
      <c r="A2355" s="4" t="s">
        <v>262</v>
      </c>
      <c r="B2355" s="3">
        <v>0.53472222222222221</v>
      </c>
      <c r="C2355" s="3">
        <v>0.7583333333333333</v>
      </c>
      <c r="D2355" s="3">
        <v>0.7993055555555556</v>
      </c>
      <c r="E2355" s="3">
        <v>0.91111111111111109</v>
      </c>
      <c r="F2355" s="4"/>
      <c r="G2355" s="4"/>
      <c r="H2355" s="3">
        <v>0.33333333333333331</v>
      </c>
      <c r="I2355" s="3">
        <v>0.33333333333333331</v>
      </c>
      <c r="J2355" s="4"/>
      <c r="K2355" s="4"/>
      <c r="L2355" s="4"/>
      <c r="M2355" s="4"/>
      <c r="N2355" s="4"/>
      <c r="O2355" s="4"/>
      <c r="P2355" s="4"/>
    </row>
    <row r="2356" spans="1:16" x14ac:dyDescent="0.25">
      <c r="A2356" s="4" t="s">
        <v>263</v>
      </c>
      <c r="B2356" s="3">
        <v>0.49861111111111112</v>
      </c>
      <c r="C2356" s="3">
        <v>0.77847222222222223</v>
      </c>
      <c r="D2356" s="3">
        <v>0.82013888888888886</v>
      </c>
      <c r="E2356" s="3">
        <v>0.91527777777777775</v>
      </c>
      <c r="F2356" s="4"/>
      <c r="G2356" s="4"/>
      <c r="H2356" s="3">
        <v>0.375</v>
      </c>
      <c r="I2356" s="3">
        <v>0.375</v>
      </c>
      <c r="J2356" s="4"/>
      <c r="K2356" s="4"/>
      <c r="L2356" s="4"/>
      <c r="M2356" s="4"/>
      <c r="N2356" s="4"/>
      <c r="O2356" s="4"/>
      <c r="P2356" s="4"/>
    </row>
    <row r="2357" spans="1:16" x14ac:dyDescent="0.25">
      <c r="A2357" s="4" t="s">
        <v>264</v>
      </c>
      <c r="B2357" s="3">
        <v>0.49652777777777773</v>
      </c>
      <c r="C2357" s="4" t="s">
        <v>303</v>
      </c>
      <c r="D2357" s="3">
        <v>0.6166666666666667</v>
      </c>
      <c r="E2357" s="3">
        <v>0.91319444444444453</v>
      </c>
      <c r="F2357" s="4"/>
      <c r="G2357" s="4"/>
      <c r="H2357" s="3">
        <v>0.375</v>
      </c>
      <c r="I2357" s="3">
        <v>0.375</v>
      </c>
      <c r="J2357" s="4"/>
      <c r="K2357" s="4"/>
      <c r="L2357" s="4"/>
      <c r="M2357" s="4"/>
      <c r="N2357" s="4"/>
      <c r="O2357" s="4"/>
      <c r="P2357" s="4"/>
    </row>
    <row r="2359" spans="1:16" x14ac:dyDescent="0.25">
      <c r="A2359" s="7" t="s">
        <v>45</v>
      </c>
    </row>
    <row r="2362" spans="1:16" x14ac:dyDescent="0.25">
      <c r="A2362" s="7" t="s">
        <v>46</v>
      </c>
    </row>
    <row r="2363" spans="1:16" x14ac:dyDescent="0.25">
      <c r="A2363" s="7" t="s">
        <v>124</v>
      </c>
      <c r="F2363" s="7" t="s">
        <v>47</v>
      </c>
    </row>
    <row r="2364" spans="1:16" x14ac:dyDescent="0.25">
      <c r="F2364" s="7"/>
    </row>
    <row r="2368" spans="1:16" x14ac:dyDescent="0.25">
      <c r="G2368" s="1" t="s">
        <v>18</v>
      </c>
    </row>
    <row r="2369" spans="1:16" x14ac:dyDescent="0.25">
      <c r="A2369" s="1" t="s">
        <v>1</v>
      </c>
      <c r="B2369" t="s">
        <v>2</v>
      </c>
      <c r="H2369" s="1" t="s">
        <v>19</v>
      </c>
      <c r="I2369" s="1" t="s">
        <v>20</v>
      </c>
      <c r="J2369" s="1" t="s">
        <v>21</v>
      </c>
      <c r="K2369" s="1" t="s">
        <v>22</v>
      </c>
      <c r="L2369" s="1" t="s">
        <v>23</v>
      </c>
      <c r="M2369" s="1" t="s">
        <v>24</v>
      </c>
    </row>
    <row r="2370" spans="1:16" x14ac:dyDescent="0.25">
      <c r="A2370" s="1" t="s">
        <v>3</v>
      </c>
      <c r="B2370" t="s">
        <v>4</v>
      </c>
      <c r="G2370" s="1" t="s">
        <v>220</v>
      </c>
      <c r="H2370" s="4" t="s">
        <v>25</v>
      </c>
      <c r="I2370" s="4" t="s">
        <v>25</v>
      </c>
      <c r="J2370" s="4" t="s">
        <v>25</v>
      </c>
      <c r="K2370" s="4" t="s">
        <v>25</v>
      </c>
      <c r="L2370" s="4" t="s">
        <v>25</v>
      </c>
      <c r="M2370" s="4" t="s">
        <v>25</v>
      </c>
    </row>
    <row r="2371" spans="1:16" x14ac:dyDescent="0.25">
      <c r="A2371" s="1" t="s">
        <v>5</v>
      </c>
      <c r="B2371" t="s">
        <v>6</v>
      </c>
      <c r="G2371" s="1" t="s">
        <v>221</v>
      </c>
      <c r="H2371" s="3">
        <v>0.33333333333333331</v>
      </c>
      <c r="I2371" s="3">
        <v>0.5</v>
      </c>
      <c r="J2371" s="3">
        <v>0.54166666666666663</v>
      </c>
      <c r="K2371" s="3">
        <v>0.75</v>
      </c>
      <c r="L2371" s="4"/>
      <c r="M2371" s="4"/>
    </row>
    <row r="2372" spans="1:16" x14ac:dyDescent="0.25">
      <c r="G2372" s="1" t="s">
        <v>222</v>
      </c>
      <c r="H2372" s="3">
        <v>0.33333333333333331</v>
      </c>
      <c r="I2372" s="3">
        <v>0.5</v>
      </c>
      <c r="J2372" s="3">
        <v>0.54166666666666663</v>
      </c>
      <c r="K2372" s="3">
        <v>0.75</v>
      </c>
      <c r="L2372" s="4"/>
      <c r="M2372" s="4"/>
    </row>
    <row r="2373" spans="1:16" x14ac:dyDescent="0.25">
      <c r="A2373" s="1" t="s">
        <v>7</v>
      </c>
      <c r="B2373" t="s">
        <v>127</v>
      </c>
      <c r="G2373" s="1" t="s">
        <v>223</v>
      </c>
      <c r="H2373" s="3">
        <v>0.33333333333333331</v>
      </c>
      <c r="I2373" s="3">
        <v>0.5</v>
      </c>
      <c r="J2373" s="3">
        <v>0.54166666666666663</v>
      </c>
      <c r="K2373" s="3">
        <v>0.75</v>
      </c>
      <c r="L2373" s="4"/>
      <c r="M2373" s="4"/>
    </row>
    <row r="2374" spans="1:16" x14ac:dyDescent="0.25">
      <c r="A2374" s="1" t="s">
        <v>9</v>
      </c>
      <c r="B2374" t="s">
        <v>128</v>
      </c>
      <c r="D2374" s="1" t="s">
        <v>11</v>
      </c>
      <c r="E2374" t="s">
        <v>128</v>
      </c>
      <c r="G2374" s="1" t="s">
        <v>224</v>
      </c>
      <c r="H2374" s="3">
        <v>0.33333333333333331</v>
      </c>
      <c r="I2374" s="3">
        <v>0.5</v>
      </c>
      <c r="J2374" s="3">
        <v>0.54166666666666663</v>
      </c>
      <c r="K2374" s="3">
        <v>0.75</v>
      </c>
      <c r="L2374" s="4"/>
      <c r="M2374" s="4"/>
    </row>
    <row r="2375" spans="1:16" x14ac:dyDescent="0.25">
      <c r="A2375" s="1" t="s">
        <v>12</v>
      </c>
      <c r="D2375" s="1" t="s">
        <v>13</v>
      </c>
      <c r="E2375" s="2">
        <v>42891</v>
      </c>
      <c r="G2375" s="1" t="s">
        <v>225</v>
      </c>
      <c r="H2375" s="3">
        <v>0.33333333333333331</v>
      </c>
      <c r="I2375" s="3">
        <v>0.5</v>
      </c>
      <c r="J2375" s="3">
        <v>0.54166666666666663</v>
      </c>
      <c r="K2375" s="3">
        <v>0.70833333333333337</v>
      </c>
      <c r="L2375" s="4"/>
      <c r="M2375" s="4"/>
    </row>
    <row r="2376" spans="1:16" x14ac:dyDescent="0.25">
      <c r="A2376" s="1" t="s">
        <v>14</v>
      </c>
      <c r="B2376" t="s">
        <v>58</v>
      </c>
      <c r="G2376" s="1" t="s">
        <v>226</v>
      </c>
      <c r="H2376" s="4" t="s">
        <v>25</v>
      </c>
      <c r="I2376" s="4" t="s">
        <v>25</v>
      </c>
      <c r="J2376" s="4" t="s">
        <v>25</v>
      </c>
      <c r="K2376" s="4" t="s">
        <v>25</v>
      </c>
      <c r="L2376" s="4" t="s">
        <v>25</v>
      </c>
      <c r="M2376" s="4" t="s">
        <v>25</v>
      </c>
    </row>
    <row r="2377" spans="1:16" x14ac:dyDescent="0.25">
      <c r="A2377" s="1" t="s">
        <v>16</v>
      </c>
      <c r="B2377" t="s">
        <v>17</v>
      </c>
    </row>
    <row r="2380" spans="1:16" x14ac:dyDescent="0.25">
      <c r="A2380" s="5" t="s">
        <v>26</v>
      </c>
      <c r="B2380" s="5" t="s">
        <v>27</v>
      </c>
      <c r="C2380" s="5" t="s">
        <v>28</v>
      </c>
      <c r="D2380" s="5" t="s">
        <v>29</v>
      </c>
      <c r="E2380" s="5" t="s">
        <v>30</v>
      </c>
      <c r="F2380" s="5" t="s">
        <v>31</v>
      </c>
      <c r="G2380" s="5" t="s">
        <v>32</v>
      </c>
      <c r="H2380" s="5" t="s">
        <v>33</v>
      </c>
      <c r="I2380" s="5" t="s">
        <v>34</v>
      </c>
      <c r="J2380" s="5" t="s">
        <v>35</v>
      </c>
      <c r="K2380" s="5" t="s">
        <v>36</v>
      </c>
      <c r="L2380" s="5" t="s">
        <v>37</v>
      </c>
      <c r="M2380" s="5" t="s">
        <v>38</v>
      </c>
      <c r="N2380" s="5" t="s">
        <v>39</v>
      </c>
      <c r="O2380" s="5" t="s">
        <v>40</v>
      </c>
      <c r="P2380" s="5" t="s">
        <v>41</v>
      </c>
    </row>
    <row r="2381" spans="1:16" x14ac:dyDescent="0.25">
      <c r="A2381" s="4"/>
      <c r="B2381" s="4"/>
      <c r="C2381" s="4"/>
      <c r="D2381" s="4"/>
      <c r="E2381" s="4"/>
      <c r="F2381" s="4"/>
      <c r="G2381" s="4"/>
      <c r="H2381" s="6">
        <v>7.708333333333333</v>
      </c>
      <c r="I2381" s="6">
        <v>7.6784722222222221</v>
      </c>
      <c r="J2381" s="6">
        <v>1.3638888888888889</v>
      </c>
      <c r="K2381" s="3">
        <v>0</v>
      </c>
      <c r="L2381" s="6">
        <v>1.2222222222222221</v>
      </c>
      <c r="M2381" s="3">
        <v>0</v>
      </c>
      <c r="N2381" s="3">
        <v>0</v>
      </c>
      <c r="O2381" s="3">
        <v>2.9861111111111113E-2</v>
      </c>
      <c r="P2381" s="3">
        <v>3.2638888888888891E-2</v>
      </c>
    </row>
    <row r="2382" spans="1:16" x14ac:dyDescent="0.25">
      <c r="A2382" s="4" t="s">
        <v>227</v>
      </c>
      <c r="B2382" s="4" t="s">
        <v>25</v>
      </c>
      <c r="C2382" s="4" t="s">
        <v>25</v>
      </c>
      <c r="D2382" s="4" t="s">
        <v>25</v>
      </c>
      <c r="E2382" s="4" t="s">
        <v>25</v>
      </c>
      <c r="F2382" s="4" t="s">
        <v>25</v>
      </c>
      <c r="G2382" s="4" t="s">
        <v>25</v>
      </c>
      <c r="H2382" s="4"/>
      <c r="I2382" s="4"/>
      <c r="J2382" s="4"/>
      <c r="K2382" s="4"/>
      <c r="L2382" s="4"/>
      <c r="M2382" s="4"/>
      <c r="N2382" s="4"/>
      <c r="O2382" s="4"/>
      <c r="P2382" s="4"/>
    </row>
    <row r="2383" spans="1:16" x14ac:dyDescent="0.25">
      <c r="A2383" s="4" t="s">
        <v>228</v>
      </c>
      <c r="B2383" s="3">
        <v>0.41666666666666669</v>
      </c>
      <c r="C2383" s="3">
        <v>0.52013888888888882</v>
      </c>
      <c r="D2383" s="3">
        <v>0.56111111111111112</v>
      </c>
      <c r="E2383" s="3">
        <v>0.83680555555555547</v>
      </c>
      <c r="F2383" s="4"/>
      <c r="G2383" s="4"/>
      <c r="H2383" s="3">
        <v>0.375</v>
      </c>
      <c r="I2383" s="3">
        <v>0.375</v>
      </c>
      <c r="J2383" s="4"/>
      <c r="K2383" s="4"/>
      <c r="L2383" s="4"/>
      <c r="M2383" s="4"/>
      <c r="N2383" s="4"/>
      <c r="O2383" s="4"/>
      <c r="P2383" s="4"/>
    </row>
    <row r="2384" spans="1:16" x14ac:dyDescent="0.25">
      <c r="A2384" s="4" t="s">
        <v>229</v>
      </c>
      <c r="B2384" s="3">
        <v>0.42222222222222222</v>
      </c>
      <c r="C2384" s="3">
        <v>0.55694444444444446</v>
      </c>
      <c r="D2384" s="3">
        <v>0.59861111111111109</v>
      </c>
      <c r="E2384" s="3">
        <v>0.83333333333333337</v>
      </c>
      <c r="F2384" s="4"/>
      <c r="G2384" s="4"/>
      <c r="H2384" s="3">
        <v>0.375</v>
      </c>
      <c r="I2384" s="3">
        <v>0.375</v>
      </c>
      <c r="J2384" s="4"/>
      <c r="K2384" s="4"/>
      <c r="L2384" s="4"/>
      <c r="M2384" s="4"/>
      <c r="N2384" s="4"/>
      <c r="O2384" s="4"/>
      <c r="P2384" s="4"/>
    </row>
    <row r="2385" spans="1:16" x14ac:dyDescent="0.25">
      <c r="A2385" s="4" t="s">
        <v>230</v>
      </c>
      <c r="B2385" s="3">
        <v>0.4152777777777778</v>
      </c>
      <c r="C2385" s="3">
        <v>0.56527777777777777</v>
      </c>
      <c r="D2385" s="3">
        <v>0.61249999999999993</v>
      </c>
      <c r="E2385" s="3">
        <v>0.83333333333333337</v>
      </c>
      <c r="F2385" s="4"/>
      <c r="G2385" s="4"/>
      <c r="H2385" s="3">
        <v>0.375</v>
      </c>
      <c r="I2385" s="3">
        <v>0.375</v>
      </c>
      <c r="J2385" s="4"/>
      <c r="K2385" s="4"/>
      <c r="L2385" s="4"/>
      <c r="M2385" s="4"/>
      <c r="N2385" s="4"/>
      <c r="O2385" s="4"/>
      <c r="P2385" s="4"/>
    </row>
    <row r="2386" spans="1:16" x14ac:dyDescent="0.25">
      <c r="A2386" s="4" t="s">
        <v>231</v>
      </c>
      <c r="B2386" s="3">
        <v>0.41805555555555557</v>
      </c>
      <c r="C2386" s="3">
        <v>0.56388888888888888</v>
      </c>
      <c r="D2386" s="3">
        <v>0.60833333333333328</v>
      </c>
      <c r="E2386" s="3">
        <v>0.8354166666666667</v>
      </c>
      <c r="F2386" s="4"/>
      <c r="G2386" s="4"/>
      <c r="H2386" s="3">
        <v>0.375</v>
      </c>
      <c r="I2386" s="3">
        <v>0.375</v>
      </c>
      <c r="J2386" s="4"/>
      <c r="K2386" s="4"/>
      <c r="L2386" s="4"/>
      <c r="M2386" s="4"/>
      <c r="N2386" s="4"/>
      <c r="O2386" s="4"/>
      <c r="P2386" s="4"/>
    </row>
    <row r="2387" spans="1:16" x14ac:dyDescent="0.25">
      <c r="A2387" s="4" t="s">
        <v>232</v>
      </c>
      <c r="B2387" s="3">
        <v>0.3298611111111111</v>
      </c>
      <c r="C2387" s="3">
        <v>0.60416666666666663</v>
      </c>
      <c r="D2387" s="3">
        <v>0.64444444444444449</v>
      </c>
      <c r="E2387" s="3">
        <v>0.70833333333333337</v>
      </c>
      <c r="F2387" s="4"/>
      <c r="G2387" s="4"/>
      <c r="H2387" s="3">
        <v>0.33333333333333331</v>
      </c>
      <c r="I2387" s="3">
        <v>0.33333333333333331</v>
      </c>
      <c r="J2387" s="4"/>
      <c r="K2387" s="4"/>
      <c r="L2387" s="4"/>
      <c r="M2387" s="4"/>
      <c r="N2387" s="4"/>
      <c r="O2387" s="4"/>
      <c r="P2387" s="4"/>
    </row>
    <row r="2388" spans="1:16" x14ac:dyDescent="0.25">
      <c r="A2388" s="4" t="s">
        <v>233</v>
      </c>
      <c r="B2388" s="4" t="s">
        <v>25</v>
      </c>
      <c r="C2388" s="4" t="s">
        <v>25</v>
      </c>
      <c r="D2388" s="4" t="s">
        <v>25</v>
      </c>
      <c r="E2388" s="4" t="s">
        <v>25</v>
      </c>
      <c r="F2388" s="4" t="s">
        <v>25</v>
      </c>
      <c r="G2388" s="4" t="s">
        <v>25</v>
      </c>
      <c r="H2388" s="4"/>
      <c r="I2388" s="4"/>
      <c r="J2388" s="4"/>
      <c r="K2388" s="4"/>
      <c r="L2388" s="3">
        <v>0.30555555555555552</v>
      </c>
      <c r="M2388" s="4"/>
      <c r="N2388" s="4"/>
      <c r="O2388" s="4"/>
      <c r="P2388" s="4"/>
    </row>
    <row r="2389" spans="1:16" x14ac:dyDescent="0.25">
      <c r="A2389" s="4" t="s">
        <v>234</v>
      </c>
      <c r="B2389" s="4" t="s">
        <v>25</v>
      </c>
      <c r="C2389" s="4" t="s">
        <v>25</v>
      </c>
      <c r="D2389" s="4" t="s">
        <v>25</v>
      </c>
      <c r="E2389" s="4" t="s">
        <v>25</v>
      </c>
      <c r="F2389" s="4" t="s">
        <v>25</v>
      </c>
      <c r="G2389" s="4" t="s">
        <v>25</v>
      </c>
      <c r="H2389" s="4"/>
      <c r="I2389" s="4"/>
      <c r="J2389" s="4"/>
      <c r="K2389" s="4"/>
      <c r="L2389" s="4"/>
      <c r="M2389" s="4"/>
      <c r="N2389" s="4"/>
      <c r="O2389" s="4"/>
      <c r="P2389" s="4"/>
    </row>
    <row r="2390" spans="1:16" x14ac:dyDescent="0.25">
      <c r="A2390" s="4" t="s">
        <v>235</v>
      </c>
      <c r="B2390" s="3">
        <v>0.42291666666666666</v>
      </c>
      <c r="C2390" s="3">
        <v>0.57013888888888886</v>
      </c>
      <c r="D2390" s="3">
        <v>0.61111111111111105</v>
      </c>
      <c r="E2390" s="3">
        <v>0.83333333333333337</v>
      </c>
      <c r="F2390" s="4"/>
      <c r="G2390" s="4"/>
      <c r="H2390" s="3">
        <v>0.375</v>
      </c>
      <c r="I2390" s="3">
        <v>0.375</v>
      </c>
      <c r="J2390" s="4"/>
      <c r="K2390" s="4"/>
      <c r="L2390" s="4"/>
      <c r="M2390" s="4"/>
      <c r="N2390" s="4"/>
      <c r="O2390" s="4"/>
      <c r="P2390" s="4"/>
    </row>
    <row r="2391" spans="1:16" x14ac:dyDescent="0.25">
      <c r="A2391" s="4" t="s">
        <v>236</v>
      </c>
      <c r="B2391" s="3">
        <v>0.41875000000000001</v>
      </c>
      <c r="C2391" s="3">
        <v>0.5708333333333333</v>
      </c>
      <c r="D2391" s="3">
        <v>0.60347222222222219</v>
      </c>
      <c r="E2391" s="3">
        <v>0.8340277777777777</v>
      </c>
      <c r="F2391" s="4"/>
      <c r="G2391" s="4"/>
      <c r="H2391" s="3">
        <v>0.375</v>
      </c>
      <c r="I2391" s="3">
        <v>0.375</v>
      </c>
      <c r="J2391" s="4"/>
      <c r="K2391" s="4"/>
      <c r="L2391" s="4"/>
      <c r="M2391" s="4"/>
      <c r="N2391" s="4"/>
      <c r="O2391" s="4"/>
      <c r="P2391" s="3">
        <v>7.6388888888888886E-3</v>
      </c>
    </row>
    <row r="2392" spans="1:16" x14ac:dyDescent="0.25">
      <c r="A2392" s="4" t="s">
        <v>237</v>
      </c>
      <c r="B2392" s="3">
        <v>0.40833333333333338</v>
      </c>
      <c r="C2392" s="3">
        <v>0.54861111111111105</v>
      </c>
      <c r="D2392" s="3">
        <v>0.59166666666666667</v>
      </c>
      <c r="E2392" s="3">
        <v>0.83333333333333337</v>
      </c>
      <c r="F2392" s="4"/>
      <c r="G2392" s="4"/>
      <c r="H2392" s="3">
        <v>0.375</v>
      </c>
      <c r="I2392" s="3">
        <v>0.375</v>
      </c>
      <c r="J2392" s="4"/>
      <c r="K2392" s="4"/>
      <c r="L2392" s="4"/>
      <c r="M2392" s="4"/>
      <c r="N2392" s="4"/>
      <c r="O2392" s="4"/>
      <c r="P2392" s="3">
        <v>6.9444444444444441E-3</v>
      </c>
    </row>
    <row r="2393" spans="1:16" x14ac:dyDescent="0.25">
      <c r="A2393" s="4" t="s">
        <v>238</v>
      </c>
      <c r="B2393" s="3">
        <v>0.4152777777777778</v>
      </c>
      <c r="C2393" s="3">
        <v>0.56944444444444442</v>
      </c>
      <c r="D2393" s="3">
        <v>0.60763888888888895</v>
      </c>
      <c r="E2393" s="3">
        <v>0.8340277777777777</v>
      </c>
      <c r="F2393" s="4"/>
      <c r="G2393" s="4"/>
      <c r="H2393" s="3">
        <v>0.375</v>
      </c>
      <c r="I2393" s="3">
        <v>0.375</v>
      </c>
      <c r="J2393" s="4"/>
      <c r="K2393" s="4"/>
      <c r="L2393" s="4"/>
      <c r="M2393" s="4"/>
      <c r="N2393" s="4"/>
      <c r="O2393" s="4"/>
      <c r="P2393" s="4"/>
    </row>
    <row r="2394" spans="1:16" x14ac:dyDescent="0.25">
      <c r="A2394" s="4" t="s">
        <v>239</v>
      </c>
      <c r="B2394" s="3">
        <v>0.32847222222222222</v>
      </c>
      <c r="C2394" s="3">
        <v>0.65277777777777779</v>
      </c>
      <c r="D2394" s="3">
        <v>0.69374999999999998</v>
      </c>
      <c r="E2394" s="3">
        <v>0.70833333333333337</v>
      </c>
      <c r="F2394" s="4"/>
      <c r="G2394" s="4"/>
      <c r="H2394" s="3">
        <v>0.33333333333333331</v>
      </c>
      <c r="I2394" s="3">
        <v>0.33333333333333331</v>
      </c>
      <c r="J2394" s="4"/>
      <c r="K2394" s="4"/>
      <c r="L2394" s="4"/>
      <c r="M2394" s="4"/>
      <c r="N2394" s="4"/>
      <c r="O2394" s="4"/>
      <c r="P2394" s="4"/>
    </row>
    <row r="2395" spans="1:16" x14ac:dyDescent="0.25">
      <c r="A2395" s="4" t="s">
        <v>240</v>
      </c>
      <c r="B2395" s="4" t="s">
        <v>25</v>
      </c>
      <c r="C2395" s="4" t="s">
        <v>25</v>
      </c>
      <c r="D2395" s="4" t="s">
        <v>25</v>
      </c>
      <c r="E2395" s="4" t="s">
        <v>25</v>
      </c>
      <c r="F2395" s="4" t="s">
        <v>25</v>
      </c>
      <c r="G2395" s="4" t="s">
        <v>25</v>
      </c>
      <c r="H2395" s="4"/>
      <c r="I2395" s="4"/>
      <c r="J2395" s="4"/>
      <c r="K2395" s="4"/>
      <c r="L2395" s="3">
        <v>0.30555555555555552</v>
      </c>
      <c r="M2395" s="4"/>
      <c r="N2395" s="4"/>
      <c r="O2395" s="4"/>
      <c r="P2395" s="4"/>
    </row>
    <row r="2396" spans="1:16" x14ac:dyDescent="0.25">
      <c r="A2396" s="4" t="s">
        <v>241</v>
      </c>
      <c r="B2396" s="4" t="s">
        <v>25</v>
      </c>
      <c r="C2396" s="4" t="s">
        <v>25</v>
      </c>
      <c r="D2396" s="4" t="s">
        <v>25</v>
      </c>
      <c r="E2396" s="4" t="s">
        <v>25</v>
      </c>
      <c r="F2396" s="4" t="s">
        <v>25</v>
      </c>
      <c r="G2396" s="4" t="s">
        <v>25</v>
      </c>
      <c r="H2396" s="4"/>
      <c r="I2396" s="4"/>
      <c r="J2396" s="4"/>
      <c r="K2396" s="4"/>
      <c r="L2396" s="4"/>
      <c r="M2396" s="4"/>
      <c r="N2396" s="4"/>
      <c r="O2396" s="4"/>
      <c r="P2396" s="4"/>
    </row>
    <row r="2397" spans="1:16" x14ac:dyDescent="0.25">
      <c r="A2397" s="4" t="s">
        <v>242</v>
      </c>
      <c r="B2397" s="3">
        <v>0.4145833333333333</v>
      </c>
      <c r="C2397" s="3">
        <v>0.55694444444444446</v>
      </c>
      <c r="D2397" s="3">
        <v>0.6020833333333333</v>
      </c>
      <c r="E2397" s="3">
        <v>0.83333333333333337</v>
      </c>
      <c r="F2397" s="4"/>
      <c r="G2397" s="4"/>
      <c r="H2397" s="3">
        <v>0.375</v>
      </c>
      <c r="I2397" s="3">
        <v>0.375</v>
      </c>
      <c r="J2397" s="4"/>
      <c r="K2397" s="4"/>
      <c r="L2397" s="4"/>
      <c r="M2397" s="4"/>
      <c r="N2397" s="4"/>
      <c r="O2397" s="4"/>
      <c r="P2397" s="4"/>
    </row>
    <row r="2398" spans="1:16" x14ac:dyDescent="0.25">
      <c r="A2398" s="4" t="s">
        <v>243</v>
      </c>
      <c r="B2398" s="3">
        <v>0.41111111111111115</v>
      </c>
      <c r="C2398" s="3">
        <v>0.56458333333333333</v>
      </c>
      <c r="D2398" s="3">
        <v>0.60625000000000007</v>
      </c>
      <c r="E2398" s="3">
        <v>0.84583333333333333</v>
      </c>
      <c r="F2398" s="4"/>
      <c r="G2398" s="4"/>
      <c r="H2398" s="3">
        <v>0.375</v>
      </c>
      <c r="I2398" s="3">
        <v>0.375</v>
      </c>
      <c r="J2398" s="4"/>
      <c r="K2398" s="4"/>
      <c r="L2398" s="4"/>
      <c r="M2398" s="4"/>
      <c r="N2398" s="4"/>
      <c r="O2398" s="4"/>
      <c r="P2398" s="3">
        <v>1.8055555555555557E-2</v>
      </c>
    </row>
    <row r="2399" spans="1:16" x14ac:dyDescent="0.25">
      <c r="A2399" s="4" t="s">
        <v>244</v>
      </c>
      <c r="B2399" s="4" t="s">
        <v>265</v>
      </c>
      <c r="C2399" s="4" t="s">
        <v>265</v>
      </c>
      <c r="D2399" s="4" t="s">
        <v>265</v>
      </c>
      <c r="E2399" s="4" t="s">
        <v>265</v>
      </c>
      <c r="F2399" s="4"/>
      <c r="G2399" s="4"/>
      <c r="H2399" s="4"/>
      <c r="I2399" s="4"/>
      <c r="J2399" s="4"/>
      <c r="K2399" s="4"/>
      <c r="L2399" s="4"/>
      <c r="M2399" s="4"/>
      <c r="N2399" s="4"/>
      <c r="O2399" s="4"/>
      <c r="P2399" s="4"/>
    </row>
    <row r="2400" spans="1:16" x14ac:dyDescent="0.25">
      <c r="A2400" s="4" t="s">
        <v>245</v>
      </c>
      <c r="B2400" s="4" t="s">
        <v>265</v>
      </c>
      <c r="C2400" s="4" t="s">
        <v>265</v>
      </c>
      <c r="D2400" s="4" t="s">
        <v>265</v>
      </c>
      <c r="E2400" s="4" t="s">
        <v>265</v>
      </c>
      <c r="F2400" s="4"/>
      <c r="G2400" s="4"/>
      <c r="H2400" s="3">
        <v>0.375</v>
      </c>
      <c r="I2400" s="3">
        <v>0.375</v>
      </c>
      <c r="J2400" s="3">
        <v>0.375</v>
      </c>
      <c r="K2400" s="4"/>
      <c r="L2400" s="4"/>
      <c r="M2400" s="4"/>
      <c r="N2400" s="4"/>
      <c r="O2400" s="4"/>
      <c r="P2400" s="4"/>
    </row>
    <row r="2401" spans="1:16" x14ac:dyDescent="0.25">
      <c r="A2401" s="4" t="s">
        <v>246</v>
      </c>
      <c r="B2401" s="3">
        <v>0.3347222222222222</v>
      </c>
      <c r="C2401" s="3">
        <v>0.57638888888888895</v>
      </c>
      <c r="D2401" s="3">
        <v>0.62013888888888891</v>
      </c>
      <c r="E2401" s="3">
        <v>0.7104166666666667</v>
      </c>
      <c r="F2401" s="4"/>
      <c r="G2401" s="4"/>
      <c r="H2401" s="3">
        <v>0.33333333333333331</v>
      </c>
      <c r="I2401" s="3">
        <v>0.33333333333333331</v>
      </c>
      <c r="J2401" s="4"/>
      <c r="K2401" s="4"/>
      <c r="L2401" s="4"/>
      <c r="M2401" s="4"/>
      <c r="N2401" s="4"/>
      <c r="O2401" s="4"/>
      <c r="P2401" s="4"/>
    </row>
    <row r="2402" spans="1:16" x14ac:dyDescent="0.25">
      <c r="A2402" s="4" t="s">
        <v>247</v>
      </c>
      <c r="B2402" s="4" t="s">
        <v>25</v>
      </c>
      <c r="C2402" s="4" t="s">
        <v>25</v>
      </c>
      <c r="D2402" s="4" t="s">
        <v>25</v>
      </c>
      <c r="E2402" s="4" t="s">
        <v>25</v>
      </c>
      <c r="F2402" s="4" t="s">
        <v>25</v>
      </c>
      <c r="G2402" s="4" t="s">
        <v>25</v>
      </c>
      <c r="H2402" s="4"/>
      <c r="I2402" s="4"/>
      <c r="J2402" s="4"/>
      <c r="K2402" s="4"/>
      <c r="L2402" s="3">
        <v>0.30555555555555552</v>
      </c>
      <c r="M2402" s="4"/>
      <c r="N2402" s="4"/>
      <c r="O2402" s="4"/>
      <c r="P2402" s="4"/>
    </row>
    <row r="2403" spans="1:16" x14ac:dyDescent="0.25">
      <c r="A2403" s="4" t="s">
        <v>248</v>
      </c>
      <c r="B2403" s="4" t="s">
        <v>25</v>
      </c>
      <c r="C2403" s="4" t="s">
        <v>25</v>
      </c>
      <c r="D2403" s="4" t="s">
        <v>25</v>
      </c>
      <c r="E2403" s="4" t="s">
        <v>25</v>
      </c>
      <c r="F2403" s="4" t="s">
        <v>25</v>
      </c>
      <c r="G2403" s="4" t="s">
        <v>25</v>
      </c>
      <c r="H2403" s="4"/>
      <c r="I2403" s="4"/>
      <c r="J2403" s="4"/>
      <c r="K2403" s="4"/>
      <c r="L2403" s="4"/>
      <c r="M2403" s="4"/>
      <c r="N2403" s="4"/>
      <c r="O2403" s="4"/>
      <c r="P2403" s="4"/>
    </row>
    <row r="2404" spans="1:16" x14ac:dyDescent="0.25">
      <c r="A2404" s="4" t="s">
        <v>249</v>
      </c>
      <c r="B2404" s="3">
        <v>0.42638888888888887</v>
      </c>
      <c r="C2404" s="3">
        <v>0.55277777777777781</v>
      </c>
      <c r="D2404" s="4" t="s">
        <v>52</v>
      </c>
      <c r="E2404" s="4" t="s">
        <v>52</v>
      </c>
      <c r="F2404" s="4"/>
      <c r="G2404" s="4"/>
      <c r="H2404" s="3">
        <v>0.375</v>
      </c>
      <c r="I2404" s="3">
        <v>0.36527777777777781</v>
      </c>
      <c r="J2404" s="3">
        <v>0.2388888888888889</v>
      </c>
      <c r="K2404" s="4"/>
      <c r="L2404" s="4"/>
      <c r="M2404" s="4"/>
      <c r="N2404" s="4"/>
      <c r="O2404" s="3">
        <v>9.7222222222222224E-3</v>
      </c>
      <c r="P2404" s="4"/>
    </row>
    <row r="2405" spans="1:16" x14ac:dyDescent="0.25">
      <c r="A2405" s="4" t="s">
        <v>251</v>
      </c>
      <c r="B2405" s="4" t="s">
        <v>52</v>
      </c>
      <c r="C2405" s="4" t="s">
        <v>52</v>
      </c>
      <c r="D2405" s="4" t="s">
        <v>52</v>
      </c>
      <c r="E2405" s="4" t="s">
        <v>52</v>
      </c>
      <c r="F2405" s="4"/>
      <c r="G2405" s="4"/>
      <c r="H2405" s="3">
        <v>0.375</v>
      </c>
      <c r="I2405" s="3">
        <v>0.375</v>
      </c>
      <c r="J2405" s="3">
        <v>0.375</v>
      </c>
      <c r="K2405" s="4"/>
      <c r="L2405" s="4"/>
      <c r="M2405" s="4"/>
      <c r="N2405" s="4"/>
      <c r="O2405" s="4"/>
      <c r="P2405" s="4"/>
    </row>
    <row r="2406" spans="1:16" x14ac:dyDescent="0.25">
      <c r="A2406" s="4" t="s">
        <v>256</v>
      </c>
      <c r="B2406" s="4" t="s">
        <v>52</v>
      </c>
      <c r="C2406" s="4" t="s">
        <v>52</v>
      </c>
      <c r="D2406" s="4" t="s">
        <v>52</v>
      </c>
      <c r="E2406" s="4" t="s">
        <v>52</v>
      </c>
      <c r="F2406" s="4"/>
      <c r="G2406" s="4"/>
      <c r="H2406" s="3">
        <v>0.375</v>
      </c>
      <c r="I2406" s="3">
        <v>0.375</v>
      </c>
      <c r="J2406" s="3">
        <v>0.375</v>
      </c>
      <c r="K2406" s="4"/>
      <c r="L2406" s="4"/>
      <c r="M2406" s="4"/>
      <c r="N2406" s="4"/>
      <c r="O2406" s="4"/>
      <c r="P2406" s="4"/>
    </row>
    <row r="2407" spans="1:16" x14ac:dyDescent="0.25">
      <c r="A2407" s="4" t="s">
        <v>259</v>
      </c>
      <c r="B2407" s="3">
        <v>0.41805555555555557</v>
      </c>
      <c r="C2407" s="3">
        <v>0.55486111111111114</v>
      </c>
      <c r="D2407" s="3">
        <v>0.60277777777777775</v>
      </c>
      <c r="E2407" s="3">
        <v>0.83472222222222225</v>
      </c>
      <c r="F2407" s="4"/>
      <c r="G2407" s="4"/>
      <c r="H2407" s="3">
        <v>0.375</v>
      </c>
      <c r="I2407" s="3">
        <v>0.375</v>
      </c>
      <c r="J2407" s="4"/>
      <c r="K2407" s="4"/>
      <c r="L2407" s="4"/>
      <c r="M2407" s="4"/>
      <c r="N2407" s="4"/>
      <c r="O2407" s="4"/>
      <c r="P2407" s="4"/>
    </row>
    <row r="2408" spans="1:16" x14ac:dyDescent="0.25">
      <c r="A2408" s="4" t="s">
        <v>260</v>
      </c>
      <c r="B2408" s="3">
        <v>0.33819444444444446</v>
      </c>
      <c r="C2408" s="3">
        <v>0.58958333333333335</v>
      </c>
      <c r="D2408" s="3">
        <v>0.63611111111111118</v>
      </c>
      <c r="E2408" s="3">
        <v>0.70972222222222225</v>
      </c>
      <c r="F2408" s="4"/>
      <c r="G2408" s="4"/>
      <c r="H2408" s="3">
        <v>0.33333333333333331</v>
      </c>
      <c r="I2408" s="3">
        <v>0.32361111111111113</v>
      </c>
      <c r="J2408" s="4"/>
      <c r="K2408" s="4"/>
      <c r="L2408" s="4"/>
      <c r="M2408" s="4"/>
      <c r="N2408" s="4"/>
      <c r="O2408" s="3">
        <v>9.7222222222222224E-3</v>
      </c>
      <c r="P2408" s="4"/>
    </row>
    <row r="2409" spans="1:16" x14ac:dyDescent="0.25">
      <c r="A2409" s="4" t="s">
        <v>261</v>
      </c>
      <c r="B2409" s="4" t="s">
        <v>25</v>
      </c>
      <c r="C2409" s="4" t="s">
        <v>25</v>
      </c>
      <c r="D2409" s="4" t="s">
        <v>25</v>
      </c>
      <c r="E2409" s="4" t="s">
        <v>25</v>
      </c>
      <c r="F2409" s="4" t="s">
        <v>25</v>
      </c>
      <c r="G2409" s="4" t="s">
        <v>25</v>
      </c>
      <c r="H2409" s="4"/>
      <c r="I2409" s="4"/>
      <c r="J2409" s="4"/>
      <c r="K2409" s="4"/>
      <c r="L2409" s="3">
        <v>0.30555555555555552</v>
      </c>
      <c r="M2409" s="4"/>
      <c r="N2409" s="4"/>
      <c r="O2409" s="4"/>
      <c r="P2409" s="4"/>
    </row>
    <row r="2410" spans="1:16" x14ac:dyDescent="0.25">
      <c r="A2410" s="4" t="s">
        <v>262</v>
      </c>
      <c r="B2410" s="4" t="s">
        <v>25</v>
      </c>
      <c r="C2410" s="4" t="s">
        <v>25</v>
      </c>
      <c r="D2410" s="4" t="s">
        <v>25</v>
      </c>
      <c r="E2410" s="4" t="s">
        <v>25</v>
      </c>
      <c r="F2410" s="4" t="s">
        <v>25</v>
      </c>
      <c r="G2410" s="4" t="s">
        <v>25</v>
      </c>
      <c r="H2410" s="4"/>
      <c r="I2410" s="4"/>
      <c r="J2410" s="4"/>
      <c r="K2410" s="4"/>
      <c r="L2410" s="4"/>
      <c r="M2410" s="4"/>
      <c r="N2410" s="4"/>
      <c r="O2410" s="4"/>
      <c r="P2410" s="4"/>
    </row>
    <row r="2411" spans="1:16" x14ac:dyDescent="0.25">
      <c r="A2411" s="4" t="s">
        <v>263</v>
      </c>
      <c r="B2411" s="3">
        <v>0.41319444444444442</v>
      </c>
      <c r="C2411" s="3">
        <v>0.54305555555555551</v>
      </c>
      <c r="D2411" s="3">
        <v>0.58680555555555558</v>
      </c>
      <c r="E2411" s="3">
        <v>0.8340277777777777</v>
      </c>
      <c r="F2411" s="4"/>
      <c r="G2411" s="4"/>
      <c r="H2411" s="3">
        <v>0.375</v>
      </c>
      <c r="I2411" s="3">
        <v>0.375</v>
      </c>
      <c r="J2411" s="4"/>
      <c r="K2411" s="4"/>
      <c r="L2411" s="4"/>
      <c r="M2411" s="4"/>
      <c r="N2411" s="4"/>
      <c r="O2411" s="4"/>
      <c r="P2411" s="4"/>
    </row>
    <row r="2412" spans="1:16" x14ac:dyDescent="0.25">
      <c r="A2412" s="4" t="s">
        <v>264</v>
      </c>
      <c r="B2412" s="3">
        <v>0.42499999999999999</v>
      </c>
      <c r="C2412" s="3">
        <v>0.56874999999999998</v>
      </c>
      <c r="D2412" s="3">
        <v>0.61319444444444449</v>
      </c>
      <c r="E2412" s="3">
        <v>0.8340277777777777</v>
      </c>
      <c r="F2412" s="4"/>
      <c r="G2412" s="4"/>
      <c r="H2412" s="3">
        <v>0.375</v>
      </c>
      <c r="I2412" s="3">
        <v>0.36458333333333331</v>
      </c>
      <c r="J2412" s="4"/>
      <c r="K2412" s="4"/>
      <c r="L2412" s="4"/>
      <c r="M2412" s="4"/>
      <c r="N2412" s="4"/>
      <c r="O2412" s="3">
        <v>1.0416666666666666E-2</v>
      </c>
      <c r="P2412" s="4"/>
    </row>
    <row r="2414" spans="1:16" x14ac:dyDescent="0.25">
      <c r="A2414" s="7" t="s">
        <v>45</v>
      </c>
    </row>
    <row r="2417" spans="1:13" x14ac:dyDescent="0.25">
      <c r="A2417" s="7" t="s">
        <v>46</v>
      </c>
    </row>
    <row r="2418" spans="1:13" x14ac:dyDescent="0.25">
      <c r="A2418" s="7" t="s">
        <v>127</v>
      </c>
      <c r="F2418" s="7" t="s">
        <v>47</v>
      </c>
    </row>
    <row r="2419" spans="1:13" x14ac:dyDescent="0.25">
      <c r="F2419" s="7"/>
    </row>
    <row r="2423" spans="1:13" x14ac:dyDescent="0.25">
      <c r="G2423" s="1" t="s">
        <v>18</v>
      </c>
    </row>
    <row r="2424" spans="1:13" x14ac:dyDescent="0.25">
      <c r="A2424" s="1" t="s">
        <v>1</v>
      </c>
      <c r="B2424" t="s">
        <v>2</v>
      </c>
      <c r="H2424" s="1" t="s">
        <v>19</v>
      </c>
      <c r="I2424" s="1" t="s">
        <v>20</v>
      </c>
      <c r="J2424" s="1" t="s">
        <v>21</v>
      </c>
      <c r="K2424" s="1" t="s">
        <v>22</v>
      </c>
      <c r="L2424" s="1" t="s">
        <v>23</v>
      </c>
      <c r="M2424" s="1" t="s">
        <v>24</v>
      </c>
    </row>
    <row r="2425" spans="1:13" x14ac:dyDescent="0.25">
      <c r="A2425" s="1" t="s">
        <v>3</v>
      </c>
      <c r="B2425" t="s">
        <v>4</v>
      </c>
      <c r="G2425" s="1" t="s">
        <v>220</v>
      </c>
      <c r="H2425" s="3">
        <v>0.375</v>
      </c>
      <c r="I2425" s="3">
        <v>0.5</v>
      </c>
      <c r="J2425" s="3">
        <v>0.54166666666666663</v>
      </c>
      <c r="K2425" s="3">
        <v>0.79166666666666663</v>
      </c>
      <c r="L2425" s="4"/>
      <c r="M2425" s="4"/>
    </row>
    <row r="2426" spans="1:13" x14ac:dyDescent="0.25">
      <c r="A2426" s="1" t="s">
        <v>5</v>
      </c>
      <c r="B2426" t="s">
        <v>6</v>
      </c>
      <c r="G2426" s="1" t="s">
        <v>221</v>
      </c>
      <c r="H2426" s="3">
        <v>0.375</v>
      </c>
      <c r="I2426" s="3">
        <v>0.5</v>
      </c>
      <c r="J2426" s="3">
        <v>0.54166666666666663</v>
      </c>
      <c r="K2426" s="3">
        <v>0.79166666666666663</v>
      </c>
      <c r="L2426" s="4"/>
      <c r="M2426" s="4"/>
    </row>
    <row r="2427" spans="1:13" x14ac:dyDescent="0.25">
      <c r="G2427" s="1" t="s">
        <v>222</v>
      </c>
      <c r="H2427" s="3">
        <v>0.375</v>
      </c>
      <c r="I2427" s="3">
        <v>0.5</v>
      </c>
      <c r="J2427" s="3">
        <v>0.54166666666666663</v>
      </c>
      <c r="K2427" s="3">
        <v>0.79166666666666663</v>
      </c>
      <c r="L2427" s="4"/>
      <c r="M2427" s="4"/>
    </row>
    <row r="2428" spans="1:13" x14ac:dyDescent="0.25">
      <c r="A2428" s="1" t="s">
        <v>7</v>
      </c>
      <c r="B2428" t="s">
        <v>304</v>
      </c>
      <c r="G2428" s="1" t="s">
        <v>223</v>
      </c>
      <c r="H2428" s="3">
        <v>0.375</v>
      </c>
      <c r="I2428" s="3">
        <v>0.5</v>
      </c>
      <c r="J2428" s="3">
        <v>0.54166666666666663</v>
      </c>
      <c r="K2428" s="3">
        <v>0.79166666666666663</v>
      </c>
      <c r="L2428" s="4"/>
      <c r="M2428" s="4"/>
    </row>
    <row r="2429" spans="1:13" x14ac:dyDescent="0.25">
      <c r="A2429" s="1" t="s">
        <v>9</v>
      </c>
      <c r="B2429" t="s">
        <v>305</v>
      </c>
      <c r="D2429" s="1" t="s">
        <v>11</v>
      </c>
      <c r="E2429" t="s">
        <v>305</v>
      </c>
      <c r="G2429" s="1" t="s">
        <v>224</v>
      </c>
      <c r="H2429" s="3">
        <v>0.375</v>
      </c>
      <c r="I2429" s="3">
        <v>0.5</v>
      </c>
      <c r="J2429" s="3">
        <v>0.54166666666666663</v>
      </c>
      <c r="K2429" s="3">
        <v>0.75</v>
      </c>
      <c r="L2429" s="4"/>
      <c r="M2429" s="4"/>
    </row>
    <row r="2430" spans="1:13" x14ac:dyDescent="0.25">
      <c r="A2430" s="1" t="s">
        <v>12</v>
      </c>
      <c r="D2430" s="1" t="s">
        <v>13</v>
      </c>
      <c r="E2430" s="2">
        <v>42996</v>
      </c>
      <c r="G2430" s="1" t="s">
        <v>225</v>
      </c>
      <c r="H2430" s="4" t="s">
        <v>25</v>
      </c>
      <c r="I2430" s="4" t="s">
        <v>25</v>
      </c>
      <c r="J2430" s="4" t="s">
        <v>25</v>
      </c>
      <c r="K2430" s="4" t="s">
        <v>25</v>
      </c>
      <c r="L2430" s="4" t="s">
        <v>25</v>
      </c>
      <c r="M2430" s="4" t="s">
        <v>25</v>
      </c>
    </row>
    <row r="2431" spans="1:13" x14ac:dyDescent="0.25">
      <c r="A2431" s="1" t="s">
        <v>14</v>
      </c>
      <c r="B2431" t="s">
        <v>268</v>
      </c>
      <c r="G2431" s="1" t="s">
        <v>226</v>
      </c>
      <c r="H2431" s="4" t="s">
        <v>25</v>
      </c>
      <c r="I2431" s="4" t="s">
        <v>25</v>
      </c>
      <c r="J2431" s="4" t="s">
        <v>25</v>
      </c>
      <c r="K2431" s="4" t="s">
        <v>25</v>
      </c>
      <c r="L2431" s="4" t="s">
        <v>25</v>
      </c>
      <c r="M2431" s="4" t="s">
        <v>25</v>
      </c>
    </row>
    <row r="2432" spans="1:13" x14ac:dyDescent="0.25">
      <c r="A2432" s="1" t="s">
        <v>16</v>
      </c>
      <c r="B2432" t="s">
        <v>17</v>
      </c>
    </row>
    <row r="2435" spans="1:16" x14ac:dyDescent="0.25">
      <c r="A2435" s="5" t="s">
        <v>26</v>
      </c>
      <c r="B2435" s="5" t="s">
        <v>27</v>
      </c>
      <c r="C2435" s="5" t="s">
        <v>28</v>
      </c>
      <c r="D2435" s="5" t="s">
        <v>29</v>
      </c>
      <c r="E2435" s="5" t="s">
        <v>30</v>
      </c>
      <c r="F2435" s="5" t="s">
        <v>31</v>
      </c>
      <c r="G2435" s="5" t="s">
        <v>32</v>
      </c>
      <c r="H2435" s="5" t="s">
        <v>33</v>
      </c>
      <c r="I2435" s="5" t="s">
        <v>34</v>
      </c>
      <c r="J2435" s="5" t="s">
        <v>35</v>
      </c>
      <c r="K2435" s="5" t="s">
        <v>36</v>
      </c>
      <c r="L2435" s="5" t="s">
        <v>37</v>
      </c>
      <c r="M2435" s="5" t="s">
        <v>38</v>
      </c>
      <c r="N2435" s="5" t="s">
        <v>39</v>
      </c>
      <c r="O2435" s="5" t="s">
        <v>40</v>
      </c>
      <c r="P2435" s="5" t="s">
        <v>41</v>
      </c>
    </row>
    <row r="2436" spans="1:16" x14ac:dyDescent="0.25">
      <c r="A2436" s="4"/>
      <c r="B2436" s="4"/>
      <c r="C2436" s="4"/>
      <c r="D2436" s="4"/>
      <c r="E2436" s="4"/>
      <c r="F2436" s="4"/>
      <c r="G2436" s="4"/>
      <c r="H2436" s="6">
        <v>1.125</v>
      </c>
      <c r="I2436" s="6">
        <v>1.125</v>
      </c>
      <c r="J2436" s="6">
        <v>1.125</v>
      </c>
      <c r="K2436" s="3">
        <v>0</v>
      </c>
      <c r="L2436" s="3">
        <v>0</v>
      </c>
      <c r="M2436" s="6">
        <v>1.2222222222222221</v>
      </c>
      <c r="N2436" s="3">
        <v>0</v>
      </c>
      <c r="O2436" s="3">
        <v>0</v>
      </c>
      <c r="P2436" s="3">
        <v>0</v>
      </c>
    </row>
    <row r="2437" spans="1:16" x14ac:dyDescent="0.25">
      <c r="A2437" s="4" t="s">
        <v>227</v>
      </c>
      <c r="B2437" s="4"/>
      <c r="C2437" s="4"/>
      <c r="D2437" s="4"/>
      <c r="E2437" s="4"/>
      <c r="F2437" s="4"/>
      <c r="G2437" s="4"/>
      <c r="H2437" s="4"/>
      <c r="I2437" s="4"/>
      <c r="J2437" s="4"/>
      <c r="K2437" s="4"/>
      <c r="L2437" s="4"/>
      <c r="M2437" s="4"/>
      <c r="N2437" s="4"/>
      <c r="O2437" s="4"/>
      <c r="P2437" s="4"/>
    </row>
    <row r="2438" spans="1:16" x14ac:dyDescent="0.25">
      <c r="A2438" s="4" t="s">
        <v>228</v>
      </c>
      <c r="B2438" s="4"/>
      <c r="C2438" s="4"/>
      <c r="D2438" s="4"/>
      <c r="E2438" s="4"/>
      <c r="F2438" s="4"/>
      <c r="G2438" s="4"/>
      <c r="H2438" s="4"/>
      <c r="I2438" s="4"/>
      <c r="J2438" s="4"/>
      <c r="K2438" s="4"/>
      <c r="L2438" s="4"/>
      <c r="M2438" s="4"/>
      <c r="N2438" s="4"/>
      <c r="O2438" s="4"/>
      <c r="P2438" s="4"/>
    </row>
    <row r="2439" spans="1:16" x14ac:dyDescent="0.25">
      <c r="A2439" s="4" t="s">
        <v>229</v>
      </c>
      <c r="B2439" s="4"/>
      <c r="C2439" s="4"/>
      <c r="D2439" s="4"/>
      <c r="E2439" s="4"/>
      <c r="F2439" s="4"/>
      <c r="G2439" s="4"/>
      <c r="H2439" s="4"/>
      <c r="I2439" s="4"/>
      <c r="J2439" s="4"/>
      <c r="K2439" s="4"/>
      <c r="L2439" s="4"/>
      <c r="M2439" s="4"/>
      <c r="N2439" s="4"/>
      <c r="O2439" s="4"/>
      <c r="P2439" s="4"/>
    </row>
    <row r="2440" spans="1:16" x14ac:dyDescent="0.25">
      <c r="A2440" s="4" t="s">
        <v>230</v>
      </c>
      <c r="B2440" s="4"/>
      <c r="C2440" s="4"/>
      <c r="D2440" s="4"/>
      <c r="E2440" s="4"/>
      <c r="F2440" s="4"/>
      <c r="G2440" s="4"/>
      <c r="H2440" s="4"/>
      <c r="I2440" s="4"/>
      <c r="J2440" s="4"/>
      <c r="K2440" s="4"/>
      <c r="L2440" s="4"/>
      <c r="M2440" s="4"/>
      <c r="N2440" s="4"/>
      <c r="O2440" s="4"/>
      <c r="P2440" s="4"/>
    </row>
    <row r="2441" spans="1:16" x14ac:dyDescent="0.25">
      <c r="A2441" s="4" t="s">
        <v>231</v>
      </c>
      <c r="B2441" s="4"/>
      <c r="C2441" s="4"/>
      <c r="D2441" s="4"/>
      <c r="E2441" s="4"/>
      <c r="F2441" s="4"/>
      <c r="G2441" s="4"/>
      <c r="H2441" s="4"/>
      <c r="I2441" s="4"/>
      <c r="J2441" s="4"/>
      <c r="K2441" s="4"/>
      <c r="L2441" s="4"/>
      <c r="M2441" s="4"/>
      <c r="N2441" s="4"/>
      <c r="O2441" s="4"/>
      <c r="P2441" s="4"/>
    </row>
    <row r="2442" spans="1:16" x14ac:dyDescent="0.25">
      <c r="A2442" s="4" t="s">
        <v>232</v>
      </c>
      <c r="B2442" s="4"/>
      <c r="C2442" s="4"/>
      <c r="D2442" s="4"/>
      <c r="E2442" s="4"/>
      <c r="F2442" s="4"/>
      <c r="G2442" s="4"/>
      <c r="H2442" s="4"/>
      <c r="I2442" s="4"/>
      <c r="J2442" s="4"/>
      <c r="K2442" s="4"/>
      <c r="L2442" s="4"/>
      <c r="M2442" s="4"/>
      <c r="N2442" s="4"/>
      <c r="O2442" s="4"/>
      <c r="P2442" s="4"/>
    </row>
    <row r="2443" spans="1:16" x14ac:dyDescent="0.25">
      <c r="A2443" s="4" t="s">
        <v>233</v>
      </c>
      <c r="B2443" s="4"/>
      <c r="C2443" s="4"/>
      <c r="D2443" s="4"/>
      <c r="E2443" s="4"/>
      <c r="F2443" s="4"/>
      <c r="G2443" s="4"/>
      <c r="H2443" s="4"/>
      <c r="I2443" s="4"/>
      <c r="J2443" s="4"/>
      <c r="K2443" s="4"/>
      <c r="L2443" s="4"/>
      <c r="M2443" s="3">
        <v>0.30555555555555552</v>
      </c>
      <c r="N2443" s="4"/>
      <c r="O2443" s="4"/>
      <c r="P2443" s="4"/>
    </row>
    <row r="2444" spans="1:16" x14ac:dyDescent="0.25">
      <c r="A2444" s="4" t="s">
        <v>234</v>
      </c>
      <c r="B2444" s="4"/>
      <c r="C2444" s="4"/>
      <c r="D2444" s="4"/>
      <c r="E2444" s="4"/>
      <c r="F2444" s="4"/>
      <c r="G2444" s="4"/>
      <c r="H2444" s="4"/>
      <c r="I2444" s="4"/>
      <c r="J2444" s="4"/>
      <c r="K2444" s="4"/>
      <c r="L2444" s="4"/>
      <c r="M2444" s="4"/>
      <c r="N2444" s="4"/>
      <c r="O2444" s="4"/>
      <c r="P2444" s="4"/>
    </row>
    <row r="2445" spans="1:16" x14ac:dyDescent="0.25">
      <c r="A2445" s="4" t="s">
        <v>235</v>
      </c>
      <c r="B2445" s="4"/>
      <c r="C2445" s="4"/>
      <c r="D2445" s="4"/>
      <c r="E2445" s="4"/>
      <c r="F2445" s="4"/>
      <c r="G2445" s="4"/>
      <c r="H2445" s="4"/>
      <c r="I2445" s="4"/>
      <c r="J2445" s="4"/>
      <c r="K2445" s="4"/>
      <c r="L2445" s="4"/>
      <c r="M2445" s="4"/>
      <c r="N2445" s="4"/>
      <c r="O2445" s="4"/>
      <c r="P2445" s="4"/>
    </row>
    <row r="2446" spans="1:16" x14ac:dyDescent="0.25">
      <c r="A2446" s="4" t="s">
        <v>236</v>
      </c>
      <c r="B2446" s="4"/>
      <c r="C2446" s="4"/>
      <c r="D2446" s="4"/>
      <c r="E2446" s="4"/>
      <c r="F2446" s="4"/>
      <c r="G2446" s="4"/>
      <c r="H2446" s="4"/>
      <c r="I2446" s="4"/>
      <c r="J2446" s="4"/>
      <c r="K2446" s="4"/>
      <c r="L2446" s="4"/>
      <c r="M2446" s="4"/>
      <c r="N2446" s="4"/>
      <c r="O2446" s="4"/>
      <c r="P2446" s="4"/>
    </row>
    <row r="2447" spans="1:16" x14ac:dyDescent="0.25">
      <c r="A2447" s="4" t="s">
        <v>237</v>
      </c>
      <c r="B2447" s="4"/>
      <c r="C2447" s="4"/>
      <c r="D2447" s="4"/>
      <c r="E2447" s="4"/>
      <c r="F2447" s="4"/>
      <c r="G2447" s="4"/>
      <c r="H2447" s="4"/>
      <c r="I2447" s="4"/>
      <c r="J2447" s="4"/>
      <c r="K2447" s="4"/>
      <c r="L2447" s="4"/>
      <c r="M2447" s="4"/>
      <c r="N2447" s="4"/>
      <c r="O2447" s="4"/>
      <c r="P2447" s="4"/>
    </row>
    <row r="2448" spans="1:16" x14ac:dyDescent="0.25">
      <c r="A2448" s="4" t="s">
        <v>238</v>
      </c>
      <c r="B2448" s="4"/>
      <c r="C2448" s="4"/>
      <c r="D2448" s="4"/>
      <c r="E2448" s="4"/>
      <c r="F2448" s="4"/>
      <c r="G2448" s="4"/>
      <c r="H2448" s="4"/>
      <c r="I2448" s="4"/>
      <c r="J2448" s="4"/>
      <c r="K2448" s="4"/>
      <c r="L2448" s="4"/>
      <c r="M2448" s="4"/>
      <c r="N2448" s="4"/>
      <c r="O2448" s="4"/>
      <c r="P2448" s="4"/>
    </row>
    <row r="2449" spans="1:16" x14ac:dyDescent="0.25">
      <c r="A2449" s="4" t="s">
        <v>239</v>
      </c>
      <c r="B2449" s="4"/>
      <c r="C2449" s="4"/>
      <c r="D2449" s="4"/>
      <c r="E2449" s="4"/>
      <c r="F2449" s="4"/>
      <c r="G2449" s="4"/>
      <c r="H2449" s="4"/>
      <c r="I2449" s="4"/>
      <c r="J2449" s="4"/>
      <c r="K2449" s="4"/>
      <c r="L2449" s="4"/>
      <c r="M2449" s="4"/>
      <c r="N2449" s="4"/>
      <c r="O2449" s="4"/>
      <c r="P2449" s="4"/>
    </row>
    <row r="2450" spans="1:16" x14ac:dyDescent="0.25">
      <c r="A2450" s="4" t="s">
        <v>240</v>
      </c>
      <c r="B2450" s="4"/>
      <c r="C2450" s="4"/>
      <c r="D2450" s="4"/>
      <c r="E2450" s="4"/>
      <c r="F2450" s="4"/>
      <c r="G2450" s="4"/>
      <c r="H2450" s="4"/>
      <c r="I2450" s="4"/>
      <c r="J2450" s="4"/>
      <c r="K2450" s="4"/>
      <c r="L2450" s="4"/>
      <c r="M2450" s="3">
        <v>0.30555555555555552</v>
      </c>
      <c r="N2450" s="4"/>
      <c r="O2450" s="4"/>
      <c r="P2450" s="4"/>
    </row>
    <row r="2451" spans="1:16" x14ac:dyDescent="0.25">
      <c r="A2451" s="4" t="s">
        <v>241</v>
      </c>
      <c r="B2451" s="4"/>
      <c r="C2451" s="4"/>
      <c r="D2451" s="4"/>
      <c r="E2451" s="4"/>
      <c r="F2451" s="4"/>
      <c r="G2451" s="4"/>
      <c r="H2451" s="4"/>
      <c r="I2451" s="4"/>
      <c r="J2451" s="4"/>
      <c r="K2451" s="4"/>
      <c r="L2451" s="4"/>
      <c r="M2451" s="4"/>
      <c r="N2451" s="4"/>
      <c r="O2451" s="4"/>
      <c r="P2451" s="4"/>
    </row>
    <row r="2452" spans="1:16" x14ac:dyDescent="0.25">
      <c r="A2452" s="4" t="s">
        <v>242</v>
      </c>
      <c r="B2452" s="4"/>
      <c r="C2452" s="4"/>
      <c r="D2452" s="4"/>
      <c r="E2452" s="4"/>
      <c r="F2452" s="4"/>
      <c r="G2452" s="4"/>
      <c r="H2452" s="4"/>
      <c r="I2452" s="4"/>
      <c r="J2452" s="4"/>
      <c r="K2452" s="4"/>
      <c r="L2452" s="4"/>
      <c r="M2452" s="4"/>
      <c r="N2452" s="4"/>
      <c r="O2452" s="4"/>
      <c r="P2452" s="4"/>
    </row>
    <row r="2453" spans="1:16" x14ac:dyDescent="0.25">
      <c r="A2453" s="4" t="s">
        <v>243</v>
      </c>
      <c r="B2453" s="4"/>
      <c r="C2453" s="4"/>
      <c r="D2453" s="4"/>
      <c r="E2453" s="4"/>
      <c r="F2453" s="4"/>
      <c r="G2453" s="4"/>
      <c r="H2453" s="4"/>
      <c r="I2453" s="4"/>
      <c r="J2453" s="4"/>
      <c r="K2453" s="4"/>
      <c r="L2453" s="4"/>
      <c r="M2453" s="4"/>
      <c r="N2453" s="4"/>
      <c r="O2453" s="4"/>
      <c r="P2453" s="4"/>
    </row>
    <row r="2454" spans="1:16" x14ac:dyDescent="0.25">
      <c r="A2454" s="4" t="s">
        <v>244</v>
      </c>
      <c r="B2454" s="4" t="s">
        <v>265</v>
      </c>
      <c r="C2454" s="4" t="s">
        <v>265</v>
      </c>
      <c r="D2454" s="4" t="s">
        <v>265</v>
      </c>
      <c r="E2454" s="4" t="s">
        <v>265</v>
      </c>
      <c r="F2454" s="4" t="s">
        <v>265</v>
      </c>
      <c r="G2454" s="4" t="s">
        <v>265</v>
      </c>
      <c r="H2454" s="4"/>
      <c r="I2454" s="4"/>
      <c r="J2454" s="4"/>
      <c r="K2454" s="4"/>
      <c r="L2454" s="4"/>
      <c r="M2454" s="4"/>
      <c r="N2454" s="4"/>
      <c r="O2454" s="4"/>
      <c r="P2454" s="4"/>
    </row>
    <row r="2455" spans="1:16" x14ac:dyDescent="0.25">
      <c r="A2455" s="4" t="s">
        <v>245</v>
      </c>
      <c r="B2455" s="4"/>
      <c r="C2455" s="4"/>
      <c r="D2455" s="4"/>
      <c r="E2455" s="4"/>
      <c r="F2455" s="4"/>
      <c r="G2455" s="4"/>
      <c r="H2455" s="4"/>
      <c r="I2455" s="4"/>
      <c r="J2455" s="4"/>
      <c r="K2455" s="4"/>
      <c r="L2455" s="4"/>
      <c r="M2455" s="4"/>
      <c r="N2455" s="4"/>
      <c r="O2455" s="4"/>
      <c r="P2455" s="4"/>
    </row>
    <row r="2456" spans="1:16" x14ac:dyDescent="0.25">
      <c r="A2456" s="4" t="s">
        <v>246</v>
      </c>
      <c r="B2456" s="4"/>
      <c r="C2456" s="4"/>
      <c r="D2456" s="4"/>
      <c r="E2456" s="4"/>
      <c r="F2456" s="4"/>
      <c r="G2456" s="4"/>
      <c r="H2456" s="4"/>
      <c r="I2456" s="4"/>
      <c r="J2456" s="4"/>
      <c r="K2456" s="4"/>
      <c r="L2456" s="4"/>
      <c r="M2456" s="4"/>
      <c r="N2456" s="4"/>
      <c r="O2456" s="4"/>
      <c r="P2456" s="4"/>
    </row>
    <row r="2457" spans="1:16" x14ac:dyDescent="0.25">
      <c r="A2457" s="4" t="s">
        <v>247</v>
      </c>
      <c r="B2457" s="4"/>
      <c r="C2457" s="4"/>
      <c r="D2457" s="4"/>
      <c r="E2457" s="4"/>
      <c r="F2457" s="4"/>
      <c r="G2457" s="4"/>
      <c r="H2457" s="4"/>
      <c r="I2457" s="4"/>
      <c r="J2457" s="4"/>
      <c r="K2457" s="4"/>
      <c r="L2457" s="4"/>
      <c r="M2457" s="3">
        <v>0.30555555555555552</v>
      </c>
      <c r="N2457" s="4"/>
      <c r="O2457" s="4"/>
      <c r="P2457" s="4"/>
    </row>
    <row r="2458" spans="1:16" x14ac:dyDescent="0.25">
      <c r="A2458" s="4" t="s">
        <v>248</v>
      </c>
      <c r="B2458" s="4"/>
      <c r="C2458" s="4"/>
      <c r="D2458" s="4"/>
      <c r="E2458" s="4"/>
      <c r="F2458" s="4"/>
      <c r="G2458" s="4"/>
      <c r="H2458" s="4"/>
      <c r="I2458" s="4"/>
      <c r="J2458" s="4"/>
      <c r="K2458" s="4"/>
      <c r="L2458" s="4"/>
      <c r="M2458" s="4"/>
      <c r="N2458" s="4"/>
      <c r="O2458" s="4"/>
      <c r="P2458" s="4"/>
    </row>
    <row r="2459" spans="1:16" x14ac:dyDescent="0.25">
      <c r="A2459" s="4" t="s">
        <v>249</v>
      </c>
      <c r="B2459" s="4"/>
      <c r="C2459" s="4"/>
      <c r="D2459" s="4"/>
      <c r="E2459" s="4"/>
      <c r="F2459" s="4"/>
      <c r="G2459" s="4"/>
      <c r="H2459" s="4"/>
      <c r="I2459" s="4"/>
      <c r="J2459" s="4"/>
      <c r="K2459" s="4"/>
      <c r="L2459" s="4"/>
      <c r="M2459" s="4"/>
      <c r="N2459" s="4"/>
      <c r="O2459" s="4"/>
      <c r="P2459" s="4"/>
    </row>
    <row r="2460" spans="1:16" x14ac:dyDescent="0.25">
      <c r="A2460" s="4" t="s">
        <v>251</v>
      </c>
      <c r="B2460" s="4"/>
      <c r="C2460" s="4"/>
      <c r="D2460" s="4"/>
      <c r="E2460" s="4"/>
      <c r="F2460" s="4"/>
      <c r="G2460" s="4"/>
      <c r="H2460" s="4"/>
      <c r="I2460" s="4"/>
      <c r="J2460" s="4"/>
      <c r="K2460" s="4"/>
      <c r="L2460" s="4"/>
      <c r="M2460" s="4"/>
      <c r="N2460" s="4"/>
      <c r="O2460" s="4"/>
      <c r="P2460" s="4"/>
    </row>
    <row r="2461" spans="1:16" x14ac:dyDescent="0.25">
      <c r="A2461" s="4" t="s">
        <v>256</v>
      </c>
      <c r="B2461" s="4"/>
      <c r="C2461" s="4"/>
      <c r="D2461" s="4"/>
      <c r="E2461" s="4"/>
      <c r="F2461" s="4"/>
      <c r="G2461" s="4"/>
      <c r="H2461" s="4"/>
      <c r="I2461" s="4"/>
      <c r="J2461" s="4"/>
      <c r="K2461" s="4"/>
      <c r="L2461" s="4"/>
      <c r="M2461" s="4"/>
      <c r="N2461" s="4"/>
      <c r="O2461" s="4"/>
      <c r="P2461" s="4"/>
    </row>
    <row r="2462" spans="1:16" x14ac:dyDescent="0.25">
      <c r="A2462" s="4" t="s">
        <v>259</v>
      </c>
      <c r="B2462" s="4"/>
      <c r="C2462" s="4"/>
      <c r="D2462" s="4"/>
      <c r="E2462" s="4"/>
      <c r="F2462" s="4"/>
      <c r="G2462" s="4"/>
      <c r="H2462" s="4"/>
      <c r="I2462" s="4"/>
      <c r="J2462" s="4"/>
      <c r="K2462" s="4"/>
      <c r="L2462" s="4"/>
      <c r="M2462" s="4"/>
      <c r="N2462" s="4"/>
      <c r="O2462" s="4"/>
      <c r="P2462" s="4"/>
    </row>
    <row r="2463" spans="1:16" x14ac:dyDescent="0.25">
      <c r="A2463" s="4" t="s">
        <v>260</v>
      </c>
      <c r="B2463" s="4"/>
      <c r="C2463" s="4"/>
      <c r="D2463" s="4"/>
      <c r="E2463" s="4"/>
      <c r="F2463" s="4"/>
      <c r="G2463" s="4"/>
      <c r="H2463" s="4"/>
      <c r="I2463" s="4"/>
      <c r="J2463" s="4"/>
      <c r="K2463" s="4"/>
      <c r="L2463" s="4"/>
      <c r="M2463" s="4"/>
      <c r="N2463" s="4"/>
      <c r="O2463" s="4"/>
      <c r="P2463" s="4"/>
    </row>
    <row r="2464" spans="1:16" x14ac:dyDescent="0.25">
      <c r="A2464" s="4" t="s">
        <v>261</v>
      </c>
      <c r="B2464" s="4"/>
      <c r="C2464" s="4"/>
      <c r="D2464" s="4"/>
      <c r="E2464" s="4"/>
      <c r="F2464" s="4"/>
      <c r="G2464" s="4"/>
      <c r="H2464" s="4"/>
      <c r="I2464" s="4"/>
      <c r="J2464" s="4"/>
      <c r="K2464" s="4"/>
      <c r="L2464" s="4"/>
      <c r="M2464" s="3">
        <v>0.30555555555555552</v>
      </c>
      <c r="N2464" s="4"/>
      <c r="O2464" s="4"/>
      <c r="P2464" s="4"/>
    </row>
    <row r="2465" spans="1:16" x14ac:dyDescent="0.25">
      <c r="A2465" s="4" t="s">
        <v>262</v>
      </c>
      <c r="B2465" s="4" t="s">
        <v>52</v>
      </c>
      <c r="C2465" s="4" t="s">
        <v>52</v>
      </c>
      <c r="D2465" s="4" t="s">
        <v>52</v>
      </c>
      <c r="E2465" s="4" t="s">
        <v>52</v>
      </c>
      <c r="F2465" s="4"/>
      <c r="G2465" s="4"/>
      <c r="H2465" s="3">
        <v>0.375</v>
      </c>
      <c r="I2465" s="3">
        <v>0.375</v>
      </c>
      <c r="J2465" s="3">
        <v>0.375</v>
      </c>
      <c r="K2465" s="4"/>
      <c r="L2465" s="4"/>
      <c r="M2465" s="4"/>
      <c r="N2465" s="4"/>
      <c r="O2465" s="4"/>
      <c r="P2465" s="4"/>
    </row>
    <row r="2466" spans="1:16" x14ac:dyDescent="0.25">
      <c r="A2466" s="4" t="s">
        <v>263</v>
      </c>
      <c r="B2466" s="4" t="s">
        <v>52</v>
      </c>
      <c r="C2466" s="4" t="s">
        <v>52</v>
      </c>
      <c r="D2466" s="4" t="s">
        <v>52</v>
      </c>
      <c r="E2466" s="4" t="s">
        <v>52</v>
      </c>
      <c r="F2466" s="4"/>
      <c r="G2466" s="4"/>
      <c r="H2466" s="3">
        <v>0.375</v>
      </c>
      <c r="I2466" s="3">
        <v>0.375</v>
      </c>
      <c r="J2466" s="3">
        <v>0.375</v>
      </c>
      <c r="K2466" s="4"/>
      <c r="L2466" s="4"/>
      <c r="M2466" s="4"/>
      <c r="N2466" s="4"/>
      <c r="O2466" s="4"/>
      <c r="P2466" s="4"/>
    </row>
    <row r="2467" spans="1:16" x14ac:dyDescent="0.25">
      <c r="A2467" s="4" t="s">
        <v>264</v>
      </c>
      <c r="B2467" s="4" t="s">
        <v>52</v>
      </c>
      <c r="C2467" s="4" t="s">
        <v>52</v>
      </c>
      <c r="D2467" s="4" t="s">
        <v>52</v>
      </c>
      <c r="E2467" s="4" t="s">
        <v>52</v>
      </c>
      <c r="F2467" s="4"/>
      <c r="G2467" s="4"/>
      <c r="H2467" s="3">
        <v>0.375</v>
      </c>
      <c r="I2467" s="3">
        <v>0.375</v>
      </c>
      <c r="J2467" s="3">
        <v>0.375</v>
      </c>
      <c r="K2467" s="4"/>
      <c r="L2467" s="4"/>
      <c r="M2467" s="4"/>
      <c r="N2467" s="4"/>
      <c r="O2467" s="4"/>
      <c r="P2467" s="4"/>
    </row>
    <row r="2469" spans="1:16" x14ac:dyDescent="0.25">
      <c r="A2469" s="7" t="s">
        <v>45</v>
      </c>
    </row>
    <row r="2472" spans="1:16" x14ac:dyDescent="0.25">
      <c r="A2472" s="7" t="s">
        <v>46</v>
      </c>
    </row>
    <row r="2473" spans="1:16" x14ac:dyDescent="0.25">
      <c r="A2473" s="7" t="s">
        <v>304</v>
      </c>
      <c r="F2473" s="7" t="s">
        <v>47</v>
      </c>
    </row>
    <row r="2474" spans="1:16" x14ac:dyDescent="0.25">
      <c r="F2474" s="7"/>
    </row>
    <row r="2476" spans="1:16" x14ac:dyDescent="0.25">
      <c r="G2476" s="1" t="s">
        <v>18</v>
      </c>
    </row>
    <row r="2477" spans="1:16" x14ac:dyDescent="0.25">
      <c r="A2477" s="1" t="s">
        <v>1</v>
      </c>
      <c r="B2477" t="s">
        <v>2</v>
      </c>
      <c r="H2477" s="1" t="s">
        <v>19</v>
      </c>
      <c r="I2477" s="1" t="s">
        <v>20</v>
      </c>
      <c r="J2477" s="1" t="s">
        <v>21</v>
      </c>
      <c r="K2477" s="1" t="s">
        <v>22</v>
      </c>
      <c r="L2477" s="1" t="s">
        <v>23</v>
      </c>
      <c r="M2477" s="1" t="s">
        <v>24</v>
      </c>
    </row>
    <row r="2478" spans="1:16" x14ac:dyDescent="0.25">
      <c r="A2478" s="1" t="s">
        <v>3</v>
      </c>
      <c r="B2478" t="s">
        <v>4</v>
      </c>
      <c r="G2478" s="1" t="s">
        <v>220</v>
      </c>
      <c r="H2478" s="3">
        <v>0.54166666666666663</v>
      </c>
      <c r="I2478" s="3">
        <v>0.79166666666666663</v>
      </c>
      <c r="J2478" s="3">
        <v>0.83333333333333337</v>
      </c>
      <c r="K2478" s="3">
        <v>0.91666666666666663</v>
      </c>
      <c r="L2478" s="4"/>
      <c r="M2478" s="4"/>
    </row>
    <row r="2479" spans="1:16" x14ac:dyDescent="0.25">
      <c r="A2479" s="1" t="s">
        <v>5</v>
      </c>
      <c r="B2479" t="s">
        <v>6</v>
      </c>
      <c r="G2479" s="1" t="s">
        <v>221</v>
      </c>
      <c r="H2479" s="3">
        <v>0.5</v>
      </c>
      <c r="I2479" s="3">
        <v>0.79166666666666663</v>
      </c>
      <c r="J2479" s="3">
        <v>0.83333333333333337</v>
      </c>
      <c r="K2479" s="3">
        <v>0.91666666666666663</v>
      </c>
      <c r="L2479" s="4"/>
      <c r="M2479" s="4"/>
    </row>
    <row r="2480" spans="1:16" x14ac:dyDescent="0.25">
      <c r="G2480" s="1" t="s">
        <v>222</v>
      </c>
      <c r="H2480" s="3">
        <v>0.5</v>
      </c>
      <c r="I2480" s="3">
        <v>0.79166666666666663</v>
      </c>
      <c r="J2480" s="3">
        <v>0.83333333333333337</v>
      </c>
      <c r="K2480" s="3">
        <v>0.91666666666666663</v>
      </c>
      <c r="L2480" s="4"/>
      <c r="M2480" s="4"/>
    </row>
    <row r="2481" spans="1:16" x14ac:dyDescent="0.25">
      <c r="A2481" s="1" t="s">
        <v>7</v>
      </c>
      <c r="B2481" t="s">
        <v>129</v>
      </c>
      <c r="G2481" s="1" t="s">
        <v>223</v>
      </c>
      <c r="H2481" s="3">
        <v>0.5</v>
      </c>
      <c r="I2481" s="3">
        <v>0.79166666666666663</v>
      </c>
      <c r="J2481" s="3">
        <v>0.83333333333333337</v>
      </c>
      <c r="K2481" s="3">
        <v>0.91666666666666663</v>
      </c>
      <c r="L2481" s="4"/>
      <c r="M2481" s="4"/>
    </row>
    <row r="2482" spans="1:16" x14ac:dyDescent="0.25">
      <c r="A2482" s="1" t="s">
        <v>9</v>
      </c>
      <c r="B2482" t="s">
        <v>130</v>
      </c>
      <c r="D2482" s="1" t="s">
        <v>11</v>
      </c>
      <c r="E2482" t="s">
        <v>130</v>
      </c>
      <c r="G2482" s="1" t="s">
        <v>224</v>
      </c>
      <c r="H2482" s="3">
        <v>0.5</v>
      </c>
      <c r="I2482" s="3">
        <v>0.79166666666666663</v>
      </c>
      <c r="J2482" s="3">
        <v>0.83333333333333337</v>
      </c>
      <c r="K2482" s="3">
        <v>0.91666666666666663</v>
      </c>
      <c r="L2482" s="4"/>
      <c r="M2482" s="4"/>
    </row>
    <row r="2483" spans="1:16" x14ac:dyDescent="0.25">
      <c r="A2483" s="1" t="s">
        <v>12</v>
      </c>
      <c r="D2483" s="1" t="s">
        <v>13</v>
      </c>
      <c r="E2483" s="2">
        <v>42954</v>
      </c>
      <c r="G2483" s="1" t="s">
        <v>225</v>
      </c>
      <c r="H2483" s="4" t="s">
        <v>25</v>
      </c>
      <c r="I2483" s="4" t="s">
        <v>25</v>
      </c>
      <c r="J2483" s="4" t="s">
        <v>25</v>
      </c>
      <c r="K2483" s="4" t="s">
        <v>25</v>
      </c>
      <c r="L2483" s="4" t="s">
        <v>25</v>
      </c>
      <c r="M2483" s="4" t="s">
        <v>25</v>
      </c>
    </row>
    <row r="2484" spans="1:16" x14ac:dyDescent="0.25">
      <c r="A2484" s="1" t="s">
        <v>14</v>
      </c>
      <c r="B2484" t="s">
        <v>58</v>
      </c>
      <c r="G2484" s="1" t="s">
        <v>226</v>
      </c>
      <c r="H2484" s="4" t="s">
        <v>25</v>
      </c>
      <c r="I2484" s="4" t="s">
        <v>25</v>
      </c>
      <c r="J2484" s="4" t="s">
        <v>25</v>
      </c>
      <c r="K2484" s="4" t="s">
        <v>25</v>
      </c>
      <c r="L2484" s="4" t="s">
        <v>25</v>
      </c>
      <c r="M2484" s="4" t="s">
        <v>25</v>
      </c>
    </row>
    <row r="2485" spans="1:16" x14ac:dyDescent="0.25">
      <c r="A2485" s="1" t="s">
        <v>16</v>
      </c>
      <c r="B2485" t="s">
        <v>17</v>
      </c>
    </row>
    <row r="2488" spans="1:16" x14ac:dyDescent="0.25">
      <c r="A2488" s="5" t="s">
        <v>26</v>
      </c>
      <c r="B2488" s="5" t="s">
        <v>27</v>
      </c>
      <c r="C2488" s="5" t="s">
        <v>28</v>
      </c>
      <c r="D2488" s="5" t="s">
        <v>29</v>
      </c>
      <c r="E2488" s="5" t="s">
        <v>30</v>
      </c>
      <c r="F2488" s="5" t="s">
        <v>31</v>
      </c>
      <c r="G2488" s="5" t="s">
        <v>32</v>
      </c>
      <c r="H2488" s="5" t="s">
        <v>33</v>
      </c>
      <c r="I2488" s="5" t="s">
        <v>34</v>
      </c>
      <c r="J2488" s="5" t="s">
        <v>35</v>
      </c>
      <c r="K2488" s="5" t="s">
        <v>36</v>
      </c>
      <c r="L2488" s="5" t="s">
        <v>37</v>
      </c>
      <c r="M2488" s="5" t="s">
        <v>38</v>
      </c>
      <c r="N2488" s="5" t="s">
        <v>39</v>
      </c>
      <c r="O2488" s="5" t="s">
        <v>40</v>
      </c>
      <c r="P2488" s="5" t="s">
        <v>41</v>
      </c>
    </row>
    <row r="2489" spans="1:16" x14ac:dyDescent="0.25">
      <c r="A2489" s="4"/>
      <c r="B2489" s="4"/>
      <c r="C2489" s="4"/>
      <c r="D2489" s="4"/>
      <c r="E2489" s="4"/>
      <c r="F2489" s="4"/>
      <c r="G2489" s="4"/>
      <c r="H2489" s="6">
        <v>8.0416666666666661</v>
      </c>
      <c r="I2489" s="6">
        <v>8.0416666666666661</v>
      </c>
      <c r="J2489" s="6">
        <v>1.21875</v>
      </c>
      <c r="K2489" s="3">
        <v>0</v>
      </c>
      <c r="L2489" s="3">
        <v>0</v>
      </c>
      <c r="M2489" s="3">
        <v>0</v>
      </c>
      <c r="N2489" s="3">
        <v>1.6666666666666666E-2</v>
      </c>
      <c r="O2489" s="3">
        <v>0</v>
      </c>
      <c r="P2489" s="3">
        <v>0.33749999999999997</v>
      </c>
    </row>
    <row r="2490" spans="1:16" x14ac:dyDescent="0.25">
      <c r="A2490" s="4" t="s">
        <v>227</v>
      </c>
      <c r="B2490" s="4" t="s">
        <v>52</v>
      </c>
      <c r="C2490" s="4" t="s">
        <v>52</v>
      </c>
      <c r="D2490" s="3">
        <v>0.67708333333333337</v>
      </c>
      <c r="E2490" s="3">
        <v>0.91666666666666663</v>
      </c>
      <c r="F2490" s="4"/>
      <c r="G2490" s="4"/>
      <c r="H2490" s="3">
        <v>0.33333333333333331</v>
      </c>
      <c r="I2490" s="3">
        <v>0.33333333333333331</v>
      </c>
      <c r="J2490" s="3">
        <v>9.375E-2</v>
      </c>
      <c r="K2490" s="4"/>
      <c r="L2490" s="4"/>
      <c r="M2490" s="4"/>
      <c r="N2490" s="4"/>
      <c r="O2490" s="4"/>
      <c r="P2490" s="4"/>
    </row>
    <row r="2491" spans="1:16" x14ac:dyDescent="0.25">
      <c r="A2491" s="4" t="s">
        <v>228</v>
      </c>
      <c r="B2491" s="3">
        <v>0.5</v>
      </c>
      <c r="C2491" s="4" t="s">
        <v>306</v>
      </c>
      <c r="D2491" s="3">
        <v>0.62777777777777777</v>
      </c>
      <c r="E2491" s="3">
        <v>0.91736111111111107</v>
      </c>
      <c r="F2491" s="4"/>
      <c r="G2491" s="4"/>
      <c r="H2491" s="3">
        <v>0.375</v>
      </c>
      <c r="I2491" s="3">
        <v>0.375</v>
      </c>
      <c r="J2491" s="4"/>
      <c r="K2491" s="4"/>
      <c r="L2491" s="4"/>
      <c r="M2491" s="4"/>
      <c r="N2491" s="4"/>
      <c r="O2491" s="4"/>
      <c r="P2491" s="4"/>
    </row>
    <row r="2492" spans="1:16" x14ac:dyDescent="0.25">
      <c r="A2492" s="4" t="s">
        <v>229</v>
      </c>
      <c r="B2492" s="3">
        <v>0.51041666666666663</v>
      </c>
      <c r="C2492" s="3">
        <v>0.63402777777777775</v>
      </c>
      <c r="D2492" s="3">
        <v>0.67638888888888893</v>
      </c>
      <c r="E2492" s="3">
        <v>0.92708333333333337</v>
      </c>
      <c r="F2492" s="4"/>
      <c r="G2492" s="4"/>
      <c r="H2492" s="3">
        <v>0.375</v>
      </c>
      <c r="I2492" s="3">
        <v>0.375</v>
      </c>
      <c r="J2492" s="4"/>
      <c r="K2492" s="4"/>
      <c r="L2492" s="4"/>
      <c r="M2492" s="4"/>
      <c r="N2492" s="3">
        <v>1.0416666666666666E-2</v>
      </c>
      <c r="O2492" s="4"/>
      <c r="P2492" s="4"/>
    </row>
    <row r="2493" spans="1:16" x14ac:dyDescent="0.25">
      <c r="A2493" s="4" t="s">
        <v>230</v>
      </c>
      <c r="B2493" s="3">
        <v>0.5</v>
      </c>
      <c r="C2493" s="3">
        <v>0.70833333333333337</v>
      </c>
      <c r="D2493" s="3">
        <v>0.75</v>
      </c>
      <c r="E2493" s="3">
        <v>0.91666666666666663</v>
      </c>
      <c r="F2493" s="4"/>
      <c r="G2493" s="4"/>
      <c r="H2493" s="3">
        <v>0.375</v>
      </c>
      <c r="I2493" s="3">
        <v>0.375</v>
      </c>
      <c r="J2493" s="4"/>
      <c r="K2493" s="4"/>
      <c r="L2493" s="4"/>
      <c r="M2493" s="4"/>
      <c r="N2493" s="4"/>
      <c r="O2493" s="4"/>
      <c r="P2493" s="4"/>
    </row>
    <row r="2494" spans="1:16" x14ac:dyDescent="0.25">
      <c r="A2494" s="4" t="s">
        <v>231</v>
      </c>
      <c r="B2494" s="3">
        <v>0.4993055555555555</v>
      </c>
      <c r="C2494" s="3">
        <v>0.54027777777777775</v>
      </c>
      <c r="D2494" s="3">
        <v>0.5854166666666667</v>
      </c>
      <c r="E2494" s="3">
        <v>0.91736111111111107</v>
      </c>
      <c r="F2494" s="4"/>
      <c r="G2494" s="4"/>
      <c r="H2494" s="3">
        <v>0.375</v>
      </c>
      <c r="I2494" s="3">
        <v>0.375</v>
      </c>
      <c r="J2494" s="4"/>
      <c r="K2494" s="4"/>
      <c r="L2494" s="4"/>
      <c r="M2494" s="4"/>
      <c r="N2494" s="4"/>
      <c r="O2494" s="4"/>
      <c r="P2494" s="4"/>
    </row>
    <row r="2495" spans="1:16" x14ac:dyDescent="0.25">
      <c r="A2495" s="4" t="s">
        <v>232</v>
      </c>
      <c r="B2495" s="4" t="s">
        <v>25</v>
      </c>
      <c r="C2495" s="4" t="s">
        <v>25</v>
      </c>
      <c r="D2495" s="4" t="s">
        <v>25</v>
      </c>
      <c r="E2495" s="4" t="s">
        <v>25</v>
      </c>
      <c r="F2495" s="4" t="s">
        <v>25</v>
      </c>
      <c r="G2495" s="4" t="s">
        <v>25</v>
      </c>
      <c r="H2495" s="4"/>
      <c r="I2495" s="4"/>
      <c r="J2495" s="4"/>
      <c r="K2495" s="4"/>
      <c r="L2495" s="4"/>
      <c r="M2495" s="4"/>
      <c r="N2495" s="4"/>
      <c r="O2495" s="4"/>
      <c r="P2495" s="4"/>
    </row>
    <row r="2496" spans="1:16" x14ac:dyDescent="0.25">
      <c r="A2496" s="4" t="s">
        <v>233</v>
      </c>
      <c r="B2496" s="4" t="s">
        <v>25</v>
      </c>
      <c r="C2496" s="4" t="s">
        <v>25</v>
      </c>
      <c r="D2496" s="4" t="s">
        <v>25</v>
      </c>
      <c r="E2496" s="4" t="s">
        <v>25</v>
      </c>
      <c r="F2496" s="4" t="s">
        <v>25</v>
      </c>
      <c r="G2496" s="4" t="s">
        <v>25</v>
      </c>
      <c r="H2496" s="4"/>
      <c r="I2496" s="4"/>
      <c r="J2496" s="4"/>
      <c r="K2496" s="4"/>
      <c r="L2496" s="4"/>
      <c r="M2496" s="4"/>
      <c r="N2496" s="4"/>
      <c r="O2496" s="4"/>
      <c r="P2496" s="4"/>
    </row>
    <row r="2497" spans="1:16" x14ac:dyDescent="0.25">
      <c r="A2497" s="4" t="s">
        <v>234</v>
      </c>
      <c r="B2497" s="3">
        <v>0.54166666666666663</v>
      </c>
      <c r="C2497" s="3">
        <v>0.67569444444444438</v>
      </c>
      <c r="D2497" s="3">
        <v>0.71736111111111101</v>
      </c>
      <c r="E2497" s="3">
        <v>0.91875000000000007</v>
      </c>
      <c r="F2497" s="4"/>
      <c r="G2497" s="4"/>
      <c r="H2497" s="3">
        <v>0.33333333333333331</v>
      </c>
      <c r="I2497" s="3">
        <v>0.33333333333333331</v>
      </c>
      <c r="J2497" s="4"/>
      <c r="K2497" s="4"/>
      <c r="L2497" s="4"/>
      <c r="M2497" s="4"/>
      <c r="N2497" s="4"/>
      <c r="O2497" s="4"/>
      <c r="P2497" s="4"/>
    </row>
    <row r="2498" spans="1:16" x14ac:dyDescent="0.25">
      <c r="A2498" s="4" t="s">
        <v>235</v>
      </c>
      <c r="B2498" s="3">
        <v>0.4993055555555555</v>
      </c>
      <c r="C2498" s="3">
        <v>0.80208333333333337</v>
      </c>
      <c r="D2498" s="3">
        <v>0.84375</v>
      </c>
      <c r="E2498" s="3">
        <v>0.91736111111111107</v>
      </c>
      <c r="F2498" s="4"/>
      <c r="G2498" s="4"/>
      <c r="H2498" s="3">
        <v>0.375</v>
      </c>
      <c r="I2498" s="3">
        <v>0.375</v>
      </c>
      <c r="J2498" s="4"/>
      <c r="K2498" s="4"/>
      <c r="L2498" s="4"/>
      <c r="M2498" s="4"/>
      <c r="N2498" s="4"/>
      <c r="O2498" s="4"/>
      <c r="P2498" s="4"/>
    </row>
    <row r="2499" spans="1:16" x14ac:dyDescent="0.25">
      <c r="A2499" s="4" t="s">
        <v>236</v>
      </c>
      <c r="B2499" s="3">
        <v>0.4993055555555555</v>
      </c>
      <c r="C2499" s="3">
        <v>0.85069444444444453</v>
      </c>
      <c r="D2499" s="3">
        <v>0.89166666666666661</v>
      </c>
      <c r="E2499" s="3">
        <v>0.91666666666666663</v>
      </c>
      <c r="F2499" s="4"/>
      <c r="G2499" s="4"/>
      <c r="H2499" s="3">
        <v>0.375</v>
      </c>
      <c r="I2499" s="3">
        <v>0.375</v>
      </c>
      <c r="J2499" s="4"/>
      <c r="K2499" s="4"/>
      <c r="L2499" s="4"/>
      <c r="M2499" s="4"/>
      <c r="N2499" s="4"/>
      <c r="O2499" s="4"/>
      <c r="P2499" s="4"/>
    </row>
    <row r="2500" spans="1:16" x14ac:dyDescent="0.25">
      <c r="A2500" s="4" t="s">
        <v>237</v>
      </c>
      <c r="B2500" s="3">
        <v>0.4993055555555555</v>
      </c>
      <c r="C2500" s="3">
        <v>0.6645833333333333</v>
      </c>
      <c r="D2500" s="3">
        <v>0.70624999999999993</v>
      </c>
      <c r="E2500" s="3">
        <v>0.91805555555555562</v>
      </c>
      <c r="F2500" s="4"/>
      <c r="G2500" s="4"/>
      <c r="H2500" s="3">
        <v>0.375</v>
      </c>
      <c r="I2500" s="3">
        <v>0.375</v>
      </c>
      <c r="J2500" s="4"/>
      <c r="K2500" s="4"/>
      <c r="L2500" s="4"/>
      <c r="M2500" s="4"/>
      <c r="N2500" s="4"/>
      <c r="O2500" s="4"/>
      <c r="P2500" s="4"/>
    </row>
    <row r="2501" spans="1:16" x14ac:dyDescent="0.25">
      <c r="A2501" s="4" t="s">
        <v>238</v>
      </c>
      <c r="B2501" s="3">
        <v>0.5</v>
      </c>
      <c r="C2501" s="3">
        <v>0.55555555555555558</v>
      </c>
      <c r="D2501" s="3">
        <v>0.59722222222222221</v>
      </c>
      <c r="E2501" s="3">
        <v>0.91666666666666663</v>
      </c>
      <c r="F2501" s="4"/>
      <c r="G2501" s="4"/>
      <c r="H2501" s="3">
        <v>0.375</v>
      </c>
      <c r="I2501" s="3">
        <v>0.375</v>
      </c>
      <c r="J2501" s="4"/>
      <c r="K2501" s="4"/>
      <c r="L2501" s="4"/>
      <c r="M2501" s="4"/>
      <c r="N2501" s="4"/>
      <c r="O2501" s="4"/>
      <c r="P2501" s="4"/>
    </row>
    <row r="2502" spans="1:16" x14ac:dyDescent="0.25">
      <c r="A2502" s="4" t="s">
        <v>239</v>
      </c>
      <c r="B2502" s="4" t="s">
        <v>25</v>
      </c>
      <c r="C2502" s="4" t="s">
        <v>25</v>
      </c>
      <c r="D2502" s="4" t="s">
        <v>25</v>
      </c>
      <c r="E2502" s="4" t="s">
        <v>25</v>
      </c>
      <c r="F2502" s="4" t="s">
        <v>25</v>
      </c>
      <c r="G2502" s="4" t="s">
        <v>25</v>
      </c>
      <c r="H2502" s="4"/>
      <c r="I2502" s="4"/>
      <c r="J2502" s="4"/>
      <c r="K2502" s="4"/>
      <c r="L2502" s="4"/>
      <c r="M2502" s="4"/>
      <c r="N2502" s="4"/>
      <c r="O2502" s="4"/>
      <c r="P2502" s="4"/>
    </row>
    <row r="2503" spans="1:16" x14ac:dyDescent="0.25">
      <c r="A2503" s="4" t="s">
        <v>240</v>
      </c>
      <c r="B2503" s="4" t="s">
        <v>25</v>
      </c>
      <c r="C2503" s="4" t="s">
        <v>25</v>
      </c>
      <c r="D2503" s="4" t="s">
        <v>25</v>
      </c>
      <c r="E2503" s="4" t="s">
        <v>25</v>
      </c>
      <c r="F2503" s="4" t="s">
        <v>25</v>
      </c>
      <c r="G2503" s="4" t="s">
        <v>25</v>
      </c>
      <c r="H2503" s="4"/>
      <c r="I2503" s="4"/>
      <c r="J2503" s="4"/>
      <c r="K2503" s="4"/>
      <c r="L2503" s="4"/>
      <c r="M2503" s="4"/>
      <c r="N2503" s="4"/>
      <c r="O2503" s="4"/>
      <c r="P2503" s="4"/>
    </row>
    <row r="2504" spans="1:16" x14ac:dyDescent="0.25">
      <c r="A2504" s="4" t="s">
        <v>241</v>
      </c>
      <c r="B2504" s="3">
        <v>0.3743055555555555</v>
      </c>
      <c r="C2504" s="3">
        <v>0.56736111111111109</v>
      </c>
      <c r="D2504" s="3">
        <v>0.60902777777777783</v>
      </c>
      <c r="E2504" s="3">
        <v>0.75069444444444444</v>
      </c>
      <c r="F2504" s="4"/>
      <c r="G2504" s="4"/>
      <c r="H2504" s="3">
        <v>0.33333333333333331</v>
      </c>
      <c r="I2504" s="3">
        <v>0.33333333333333331</v>
      </c>
      <c r="J2504" s="4"/>
      <c r="K2504" s="4"/>
      <c r="L2504" s="4"/>
      <c r="M2504" s="4"/>
      <c r="N2504" s="4"/>
      <c r="O2504" s="4"/>
      <c r="P2504" s="4"/>
    </row>
    <row r="2505" spans="1:16" x14ac:dyDescent="0.25">
      <c r="A2505" s="4" t="s">
        <v>242</v>
      </c>
      <c r="B2505" s="3">
        <v>0.4993055555555555</v>
      </c>
      <c r="C2505" s="3">
        <v>0.81458333333333333</v>
      </c>
      <c r="D2505" s="3">
        <v>0.85625000000000007</v>
      </c>
      <c r="E2505" s="3">
        <v>0.91736111111111107</v>
      </c>
      <c r="F2505" s="4"/>
      <c r="G2505" s="4"/>
      <c r="H2505" s="3">
        <v>0.375</v>
      </c>
      <c r="I2505" s="3">
        <v>0.375</v>
      </c>
      <c r="J2505" s="4"/>
      <c r="K2505" s="4"/>
      <c r="L2505" s="4"/>
      <c r="M2505" s="4"/>
      <c r="N2505" s="4"/>
      <c r="O2505" s="4"/>
      <c r="P2505" s="4"/>
    </row>
    <row r="2506" spans="1:16" x14ac:dyDescent="0.25">
      <c r="A2506" s="4" t="s">
        <v>243</v>
      </c>
      <c r="B2506" s="3">
        <v>0.49791666666666662</v>
      </c>
      <c r="C2506" s="3">
        <v>0.81111111111111101</v>
      </c>
      <c r="D2506" s="3">
        <v>0.85277777777777775</v>
      </c>
      <c r="E2506" s="3">
        <v>0.91736111111111107</v>
      </c>
      <c r="F2506" s="4"/>
      <c r="G2506" s="4"/>
      <c r="H2506" s="3">
        <v>0.375</v>
      </c>
      <c r="I2506" s="3">
        <v>0.375</v>
      </c>
      <c r="J2506" s="4"/>
      <c r="K2506" s="4"/>
      <c r="L2506" s="4"/>
      <c r="M2506" s="4"/>
      <c r="N2506" s="4"/>
      <c r="O2506" s="4"/>
      <c r="P2506" s="4"/>
    </row>
    <row r="2507" spans="1:16" x14ac:dyDescent="0.25">
      <c r="A2507" s="4" t="s">
        <v>244</v>
      </c>
      <c r="B2507" s="3">
        <v>0.37222222222222223</v>
      </c>
      <c r="C2507" s="3">
        <v>0.53194444444444444</v>
      </c>
      <c r="D2507" s="3">
        <v>0.57291666666666663</v>
      </c>
      <c r="E2507" s="3">
        <v>0.75069444444444444</v>
      </c>
      <c r="F2507" s="4"/>
      <c r="G2507" s="4"/>
      <c r="H2507" s="4"/>
      <c r="I2507" s="4"/>
      <c r="J2507" s="4"/>
      <c r="K2507" s="4"/>
      <c r="L2507" s="4"/>
      <c r="M2507" s="4"/>
      <c r="N2507" s="4"/>
      <c r="O2507" s="4"/>
      <c r="P2507" s="3">
        <v>0.33749999999999997</v>
      </c>
    </row>
    <row r="2508" spans="1:16" x14ac:dyDescent="0.25">
      <c r="A2508" s="4" t="s">
        <v>245</v>
      </c>
      <c r="B2508" s="3">
        <v>0.49861111111111112</v>
      </c>
      <c r="C2508" s="3">
        <v>0.55347222222222225</v>
      </c>
      <c r="D2508" s="3">
        <v>0.59236111111111112</v>
      </c>
      <c r="E2508" s="3">
        <v>0.91805555555555562</v>
      </c>
      <c r="F2508" s="4"/>
      <c r="G2508" s="4"/>
      <c r="H2508" s="3">
        <v>0.375</v>
      </c>
      <c r="I2508" s="3">
        <v>0.375</v>
      </c>
      <c r="J2508" s="4"/>
      <c r="K2508" s="4"/>
      <c r="L2508" s="4"/>
      <c r="M2508" s="4"/>
      <c r="N2508" s="4"/>
      <c r="O2508" s="4"/>
      <c r="P2508" s="4"/>
    </row>
    <row r="2509" spans="1:16" x14ac:dyDescent="0.25">
      <c r="A2509" s="4" t="s">
        <v>246</v>
      </c>
      <c r="B2509" s="4" t="s">
        <v>25</v>
      </c>
      <c r="C2509" s="4" t="s">
        <v>25</v>
      </c>
      <c r="D2509" s="4" t="s">
        <v>25</v>
      </c>
      <c r="E2509" s="4" t="s">
        <v>25</v>
      </c>
      <c r="F2509" s="4" t="s">
        <v>25</v>
      </c>
      <c r="G2509" s="4" t="s">
        <v>25</v>
      </c>
      <c r="H2509" s="4"/>
      <c r="I2509" s="4"/>
      <c r="J2509" s="4"/>
      <c r="K2509" s="4"/>
      <c r="L2509" s="4"/>
      <c r="M2509" s="4"/>
      <c r="N2509" s="4"/>
      <c r="O2509" s="4"/>
      <c r="P2509" s="4"/>
    </row>
    <row r="2510" spans="1:16" x14ac:dyDescent="0.25">
      <c r="A2510" s="4" t="s">
        <v>247</v>
      </c>
      <c r="B2510" s="4" t="s">
        <v>25</v>
      </c>
      <c r="C2510" s="4" t="s">
        <v>25</v>
      </c>
      <c r="D2510" s="4" t="s">
        <v>25</v>
      </c>
      <c r="E2510" s="4" t="s">
        <v>25</v>
      </c>
      <c r="F2510" s="4" t="s">
        <v>25</v>
      </c>
      <c r="G2510" s="4" t="s">
        <v>25</v>
      </c>
      <c r="H2510" s="4"/>
      <c r="I2510" s="4"/>
      <c r="J2510" s="4"/>
      <c r="K2510" s="4"/>
      <c r="L2510" s="4"/>
      <c r="M2510" s="4"/>
      <c r="N2510" s="4"/>
      <c r="O2510" s="4"/>
      <c r="P2510" s="4"/>
    </row>
    <row r="2511" spans="1:16" x14ac:dyDescent="0.25">
      <c r="A2511" s="4" t="s">
        <v>248</v>
      </c>
      <c r="B2511" s="3">
        <v>0.5395833333333333</v>
      </c>
      <c r="C2511" s="3">
        <v>0.83472222222222225</v>
      </c>
      <c r="D2511" s="3">
        <v>0.87638888888888899</v>
      </c>
      <c r="E2511" s="3">
        <v>0.92291666666666661</v>
      </c>
      <c r="F2511" s="4"/>
      <c r="G2511" s="4"/>
      <c r="H2511" s="3">
        <v>0.33333333333333331</v>
      </c>
      <c r="I2511" s="3">
        <v>0.33333333333333331</v>
      </c>
      <c r="J2511" s="4"/>
      <c r="K2511" s="4"/>
      <c r="L2511" s="4"/>
      <c r="M2511" s="4"/>
      <c r="N2511" s="3">
        <v>6.2499999999999995E-3</v>
      </c>
      <c r="O2511" s="4"/>
      <c r="P2511" s="4"/>
    </row>
    <row r="2512" spans="1:16" x14ac:dyDescent="0.25">
      <c r="A2512" s="4" t="s">
        <v>249</v>
      </c>
      <c r="B2512" s="4" t="s">
        <v>52</v>
      </c>
      <c r="C2512" s="4" t="s">
        <v>52</v>
      </c>
      <c r="D2512" s="4" t="s">
        <v>52</v>
      </c>
      <c r="E2512" s="4" t="s">
        <v>52</v>
      </c>
      <c r="F2512" s="4"/>
      <c r="G2512" s="4"/>
      <c r="H2512" s="3">
        <v>0.375</v>
      </c>
      <c r="I2512" s="3">
        <v>0.375</v>
      </c>
      <c r="J2512" s="3">
        <v>0.375</v>
      </c>
      <c r="K2512" s="4"/>
      <c r="L2512" s="4"/>
      <c r="M2512" s="4"/>
      <c r="N2512" s="4"/>
      <c r="O2512" s="4"/>
      <c r="P2512" s="4"/>
    </row>
    <row r="2513" spans="1:16" x14ac:dyDescent="0.25">
      <c r="A2513" s="4" t="s">
        <v>251</v>
      </c>
      <c r="B2513" s="4" t="s">
        <v>52</v>
      </c>
      <c r="C2513" s="4" t="s">
        <v>52</v>
      </c>
      <c r="D2513" s="4" t="s">
        <v>52</v>
      </c>
      <c r="E2513" s="4" t="s">
        <v>52</v>
      </c>
      <c r="F2513" s="4"/>
      <c r="G2513" s="4"/>
      <c r="H2513" s="3">
        <v>0.375</v>
      </c>
      <c r="I2513" s="3">
        <v>0.375</v>
      </c>
      <c r="J2513" s="3">
        <v>0.375</v>
      </c>
      <c r="K2513" s="4"/>
      <c r="L2513" s="4"/>
      <c r="M2513" s="4"/>
      <c r="N2513" s="4"/>
      <c r="O2513" s="4"/>
      <c r="P2513" s="4"/>
    </row>
    <row r="2514" spans="1:16" x14ac:dyDescent="0.25">
      <c r="A2514" s="4" t="s">
        <v>256</v>
      </c>
      <c r="B2514" s="4" t="s">
        <v>52</v>
      </c>
      <c r="C2514" s="4" t="s">
        <v>52</v>
      </c>
      <c r="D2514" s="4" t="s">
        <v>52</v>
      </c>
      <c r="E2514" s="4" t="s">
        <v>52</v>
      </c>
      <c r="F2514" s="4"/>
      <c r="G2514" s="4"/>
      <c r="H2514" s="3">
        <v>0.375</v>
      </c>
      <c r="I2514" s="3">
        <v>0.375</v>
      </c>
      <c r="J2514" s="3">
        <v>0.375</v>
      </c>
      <c r="K2514" s="4"/>
      <c r="L2514" s="4"/>
      <c r="M2514" s="4"/>
      <c r="N2514" s="4"/>
      <c r="O2514" s="4"/>
      <c r="P2514" s="4"/>
    </row>
    <row r="2515" spans="1:16" x14ac:dyDescent="0.25">
      <c r="A2515" s="4" t="s">
        <v>259</v>
      </c>
      <c r="B2515" s="3">
        <v>0.49861111111111112</v>
      </c>
      <c r="C2515" s="3">
        <v>0.55486111111111114</v>
      </c>
      <c r="D2515" s="3">
        <v>0.6</v>
      </c>
      <c r="E2515" s="3">
        <v>0.9194444444444444</v>
      </c>
      <c r="F2515" s="4"/>
      <c r="G2515" s="4"/>
      <c r="H2515" s="3">
        <v>0.375</v>
      </c>
      <c r="I2515" s="3">
        <v>0.375</v>
      </c>
      <c r="J2515" s="4"/>
      <c r="K2515" s="4"/>
      <c r="L2515" s="4"/>
      <c r="M2515" s="4"/>
      <c r="N2515" s="4"/>
      <c r="O2515" s="4"/>
      <c r="P2515" s="4"/>
    </row>
    <row r="2516" spans="1:16" x14ac:dyDescent="0.25">
      <c r="A2516" s="4" t="s">
        <v>260</v>
      </c>
      <c r="B2516" s="4" t="s">
        <v>25</v>
      </c>
      <c r="C2516" s="4" t="s">
        <v>25</v>
      </c>
      <c r="D2516" s="4" t="s">
        <v>25</v>
      </c>
      <c r="E2516" s="4" t="s">
        <v>25</v>
      </c>
      <c r="F2516" s="4" t="s">
        <v>25</v>
      </c>
      <c r="G2516" s="4" t="s">
        <v>25</v>
      </c>
      <c r="H2516" s="4"/>
      <c r="I2516" s="4"/>
      <c r="J2516" s="4"/>
      <c r="K2516" s="4"/>
      <c r="L2516" s="4"/>
      <c r="M2516" s="4"/>
      <c r="N2516" s="4"/>
      <c r="O2516" s="4"/>
      <c r="P2516" s="4"/>
    </row>
    <row r="2517" spans="1:16" x14ac:dyDescent="0.25">
      <c r="A2517" s="4" t="s">
        <v>261</v>
      </c>
      <c r="B2517" s="4" t="s">
        <v>25</v>
      </c>
      <c r="C2517" s="4" t="s">
        <v>25</v>
      </c>
      <c r="D2517" s="4" t="s">
        <v>25</v>
      </c>
      <c r="E2517" s="4" t="s">
        <v>25</v>
      </c>
      <c r="F2517" s="4" t="s">
        <v>25</v>
      </c>
      <c r="G2517" s="4" t="s">
        <v>25</v>
      </c>
      <c r="H2517" s="4"/>
      <c r="I2517" s="4"/>
      <c r="J2517" s="4"/>
      <c r="K2517" s="4"/>
      <c r="L2517" s="4"/>
      <c r="M2517" s="4"/>
      <c r="N2517" s="4"/>
      <c r="O2517" s="4"/>
      <c r="P2517" s="4"/>
    </row>
    <row r="2518" spans="1:16" x14ac:dyDescent="0.25">
      <c r="A2518" s="4" t="s">
        <v>262</v>
      </c>
      <c r="B2518" s="3">
        <v>0.4993055555555555</v>
      </c>
      <c r="C2518" s="3">
        <v>0.58611111111111114</v>
      </c>
      <c r="D2518" s="3">
        <v>0.62777777777777777</v>
      </c>
      <c r="E2518" s="3">
        <v>0.875</v>
      </c>
      <c r="F2518" s="4"/>
      <c r="G2518" s="4"/>
      <c r="H2518" s="3">
        <v>0.33333333333333331</v>
      </c>
      <c r="I2518" s="3">
        <v>0.33333333333333331</v>
      </c>
      <c r="J2518" s="4"/>
      <c r="K2518" s="4"/>
      <c r="L2518" s="4"/>
      <c r="M2518" s="4"/>
      <c r="N2518" s="4"/>
      <c r="O2518" s="4"/>
      <c r="P2518" s="4"/>
    </row>
    <row r="2519" spans="1:16" x14ac:dyDescent="0.25">
      <c r="A2519" s="4" t="s">
        <v>263</v>
      </c>
      <c r="B2519" s="3">
        <v>0.4993055555555555</v>
      </c>
      <c r="C2519" s="3">
        <v>0.56805555555555554</v>
      </c>
      <c r="D2519" s="3">
        <v>0.60902777777777783</v>
      </c>
      <c r="E2519" s="3">
        <v>0.91666666666666663</v>
      </c>
      <c r="F2519" s="4"/>
      <c r="G2519" s="4"/>
      <c r="H2519" s="3">
        <v>0.375</v>
      </c>
      <c r="I2519" s="3">
        <v>0.375</v>
      </c>
      <c r="J2519" s="4"/>
      <c r="K2519" s="4"/>
      <c r="L2519" s="4"/>
      <c r="M2519" s="4"/>
      <c r="N2519" s="4"/>
      <c r="O2519" s="4"/>
      <c r="P2519" s="4"/>
    </row>
    <row r="2520" spans="1:16" x14ac:dyDescent="0.25">
      <c r="A2520" s="4" t="s">
        <v>264</v>
      </c>
      <c r="B2520" s="4" t="s">
        <v>42</v>
      </c>
      <c r="C2520" s="3">
        <v>0.58124999999999993</v>
      </c>
      <c r="D2520" s="3">
        <v>0.62291666666666667</v>
      </c>
      <c r="E2520" s="3">
        <v>0.91736111111111107</v>
      </c>
      <c r="F2520" s="4"/>
      <c r="G2520" s="4"/>
      <c r="H2520" s="3">
        <v>0.375</v>
      </c>
      <c r="I2520" s="3">
        <v>0.375</v>
      </c>
      <c r="J2520" s="4"/>
      <c r="K2520" s="4"/>
      <c r="L2520" s="4"/>
      <c r="M2520" s="4"/>
      <c r="N2520" s="4"/>
      <c r="O2520" s="4"/>
      <c r="P2520" s="4"/>
    </row>
    <row r="2522" spans="1:16" x14ac:dyDescent="0.25">
      <c r="A2522" s="7" t="s">
        <v>45</v>
      </c>
    </row>
    <row r="2525" spans="1:16" x14ac:dyDescent="0.25">
      <c r="A2525" s="7" t="s">
        <v>46</v>
      </c>
    </row>
    <row r="2526" spans="1:16" x14ac:dyDescent="0.25">
      <c r="A2526" s="7" t="s">
        <v>129</v>
      </c>
      <c r="F2526" s="7" t="s">
        <v>47</v>
      </c>
    </row>
    <row r="2527" spans="1:16" x14ac:dyDescent="0.25">
      <c r="F2527" s="7"/>
    </row>
    <row r="2531" spans="1:16" x14ac:dyDescent="0.25">
      <c r="G2531" s="1" t="s">
        <v>18</v>
      </c>
    </row>
    <row r="2532" spans="1:16" x14ac:dyDescent="0.25">
      <c r="A2532" s="1" t="s">
        <v>1</v>
      </c>
      <c r="B2532" t="s">
        <v>2</v>
      </c>
      <c r="H2532" s="1" t="s">
        <v>19</v>
      </c>
      <c r="I2532" s="1" t="s">
        <v>20</v>
      </c>
      <c r="J2532" s="1" t="s">
        <v>21</v>
      </c>
      <c r="K2532" s="1" t="s">
        <v>22</v>
      </c>
      <c r="L2532" s="1" t="s">
        <v>23</v>
      </c>
      <c r="M2532" s="1" t="s">
        <v>24</v>
      </c>
    </row>
    <row r="2533" spans="1:16" x14ac:dyDescent="0.25">
      <c r="A2533" s="1" t="s">
        <v>3</v>
      </c>
      <c r="B2533" t="s">
        <v>4</v>
      </c>
      <c r="G2533" s="1" t="s">
        <v>220</v>
      </c>
      <c r="H2533" s="3">
        <v>0.35416666666666669</v>
      </c>
      <c r="I2533" s="3">
        <v>0.5</v>
      </c>
      <c r="J2533" s="3">
        <v>0.54166666666666663</v>
      </c>
      <c r="K2533" s="3">
        <v>0.77083333333333337</v>
      </c>
      <c r="L2533" s="4"/>
      <c r="M2533" s="4"/>
    </row>
    <row r="2534" spans="1:16" x14ac:dyDescent="0.25">
      <c r="A2534" s="1" t="s">
        <v>5</v>
      </c>
      <c r="B2534" t="s">
        <v>6</v>
      </c>
      <c r="G2534" s="1" t="s">
        <v>221</v>
      </c>
      <c r="H2534" s="3">
        <v>0.35416666666666669</v>
      </c>
      <c r="I2534" s="3">
        <v>0.5</v>
      </c>
      <c r="J2534" s="3">
        <v>0.54166666666666663</v>
      </c>
      <c r="K2534" s="3">
        <v>0.77083333333333337</v>
      </c>
      <c r="L2534" s="4"/>
      <c r="M2534" s="4"/>
    </row>
    <row r="2535" spans="1:16" x14ac:dyDescent="0.25">
      <c r="G2535" s="1" t="s">
        <v>222</v>
      </c>
      <c r="H2535" s="3">
        <v>0.35416666666666669</v>
      </c>
      <c r="I2535" s="3">
        <v>0.5</v>
      </c>
      <c r="J2535" s="3">
        <v>0.54166666666666663</v>
      </c>
      <c r="K2535" s="3">
        <v>0.77083333333333337</v>
      </c>
      <c r="L2535" s="4"/>
      <c r="M2535" s="4"/>
    </row>
    <row r="2536" spans="1:16" x14ac:dyDescent="0.25">
      <c r="A2536" s="1" t="s">
        <v>7</v>
      </c>
      <c r="B2536" t="s">
        <v>131</v>
      </c>
      <c r="G2536" s="1" t="s">
        <v>223</v>
      </c>
      <c r="H2536" s="3">
        <v>0.35416666666666669</v>
      </c>
      <c r="I2536" s="3">
        <v>0.5</v>
      </c>
      <c r="J2536" s="3">
        <v>0.54166666666666663</v>
      </c>
      <c r="K2536" s="3">
        <v>0.77083333333333337</v>
      </c>
      <c r="L2536" s="4"/>
      <c r="M2536" s="4"/>
    </row>
    <row r="2537" spans="1:16" x14ac:dyDescent="0.25">
      <c r="A2537" s="1" t="s">
        <v>9</v>
      </c>
      <c r="B2537" t="s">
        <v>132</v>
      </c>
      <c r="D2537" s="1" t="s">
        <v>11</v>
      </c>
      <c r="E2537" t="s">
        <v>132</v>
      </c>
      <c r="G2537" s="1" t="s">
        <v>224</v>
      </c>
      <c r="H2537" s="3">
        <v>0.35416666666666669</v>
      </c>
      <c r="I2537" s="3">
        <v>0.5</v>
      </c>
      <c r="J2537" s="3">
        <v>0.54166666666666663</v>
      </c>
      <c r="K2537" s="3">
        <v>0.72916666666666663</v>
      </c>
      <c r="L2537" s="4"/>
      <c r="M2537" s="4"/>
    </row>
    <row r="2538" spans="1:16" x14ac:dyDescent="0.25">
      <c r="A2538" s="1" t="s">
        <v>12</v>
      </c>
      <c r="D2538" s="1" t="s">
        <v>13</v>
      </c>
      <c r="E2538" s="2">
        <v>42278</v>
      </c>
      <c r="G2538" s="1" t="s">
        <v>225</v>
      </c>
      <c r="H2538" s="4" t="s">
        <v>25</v>
      </c>
      <c r="I2538" s="4" t="s">
        <v>25</v>
      </c>
      <c r="J2538" s="4" t="s">
        <v>25</v>
      </c>
      <c r="K2538" s="4" t="s">
        <v>25</v>
      </c>
      <c r="L2538" s="4" t="s">
        <v>25</v>
      </c>
      <c r="M2538" s="4" t="s">
        <v>25</v>
      </c>
    </row>
    <row r="2539" spans="1:16" x14ac:dyDescent="0.25">
      <c r="A2539" s="1" t="s">
        <v>14</v>
      </c>
      <c r="B2539" t="s">
        <v>50</v>
      </c>
      <c r="G2539" s="1" t="s">
        <v>226</v>
      </c>
      <c r="H2539" s="4" t="s">
        <v>25</v>
      </c>
      <c r="I2539" s="4" t="s">
        <v>25</v>
      </c>
      <c r="J2539" s="4" t="s">
        <v>25</v>
      </c>
      <c r="K2539" s="4" t="s">
        <v>25</v>
      </c>
      <c r="L2539" s="4" t="s">
        <v>25</v>
      </c>
      <c r="M2539" s="4" t="s">
        <v>25</v>
      </c>
    </row>
    <row r="2540" spans="1:16" x14ac:dyDescent="0.25">
      <c r="A2540" s="1" t="s">
        <v>16</v>
      </c>
      <c r="B2540" t="s">
        <v>17</v>
      </c>
    </row>
    <row r="2543" spans="1:16" x14ac:dyDescent="0.25">
      <c r="A2543" s="5" t="s">
        <v>26</v>
      </c>
      <c r="B2543" s="5" t="s">
        <v>27</v>
      </c>
      <c r="C2543" s="5" t="s">
        <v>28</v>
      </c>
      <c r="D2543" s="5" t="s">
        <v>29</v>
      </c>
      <c r="E2543" s="5" t="s">
        <v>30</v>
      </c>
      <c r="F2543" s="5" t="s">
        <v>31</v>
      </c>
      <c r="G2543" s="5" t="s">
        <v>32</v>
      </c>
      <c r="H2543" s="5" t="s">
        <v>33</v>
      </c>
      <c r="I2543" s="5" t="s">
        <v>34</v>
      </c>
      <c r="J2543" s="5" t="s">
        <v>35</v>
      </c>
      <c r="K2543" s="5" t="s">
        <v>36</v>
      </c>
      <c r="L2543" s="5" t="s">
        <v>37</v>
      </c>
      <c r="M2543" s="5" t="s">
        <v>38</v>
      </c>
      <c r="N2543" s="5" t="s">
        <v>39</v>
      </c>
      <c r="O2543" s="5" t="s">
        <v>40</v>
      </c>
      <c r="P2543" s="5" t="s">
        <v>41</v>
      </c>
    </row>
    <row r="2544" spans="1:16" x14ac:dyDescent="0.25">
      <c r="A2544" s="4"/>
      <c r="B2544" s="4"/>
      <c r="C2544" s="4"/>
      <c r="D2544" s="4"/>
      <c r="E2544" s="4"/>
      <c r="F2544" s="4"/>
      <c r="G2544" s="4"/>
      <c r="H2544" s="6">
        <v>8.0833333333333339</v>
      </c>
      <c r="I2544" s="6">
        <v>8.0833333333333339</v>
      </c>
      <c r="J2544" s="6">
        <v>2.0319444444444446</v>
      </c>
      <c r="K2544" s="3">
        <v>0</v>
      </c>
      <c r="L2544" s="3">
        <v>0</v>
      </c>
      <c r="M2544" s="3">
        <v>0</v>
      </c>
      <c r="N2544" s="3">
        <v>0</v>
      </c>
      <c r="O2544" s="3">
        <v>0</v>
      </c>
      <c r="P2544" s="3">
        <v>0.1277777777777778</v>
      </c>
    </row>
    <row r="2545" spans="1:16" x14ac:dyDescent="0.25">
      <c r="A2545" s="4" t="s">
        <v>227</v>
      </c>
      <c r="B2545" s="3">
        <v>0.3833333333333333</v>
      </c>
      <c r="C2545" s="3">
        <v>0.51527777777777783</v>
      </c>
      <c r="D2545" s="3">
        <v>0.54027777777777775</v>
      </c>
      <c r="E2545" s="3">
        <v>0.74375000000000002</v>
      </c>
      <c r="F2545" s="4"/>
      <c r="G2545" s="4"/>
      <c r="H2545" s="3">
        <v>0.375</v>
      </c>
      <c r="I2545" s="3">
        <v>0.375</v>
      </c>
      <c r="J2545" s="3">
        <v>4.0972222222222222E-2</v>
      </c>
      <c r="K2545" s="4"/>
      <c r="L2545" s="4"/>
      <c r="M2545" s="4"/>
      <c r="N2545" s="4"/>
      <c r="O2545" s="4"/>
      <c r="P2545" s="4"/>
    </row>
    <row r="2546" spans="1:16" x14ac:dyDescent="0.25">
      <c r="A2546" s="4" t="s">
        <v>228</v>
      </c>
      <c r="B2546" s="3">
        <v>0.3527777777777778</v>
      </c>
      <c r="C2546" s="3">
        <v>0.51944444444444449</v>
      </c>
      <c r="D2546" s="3">
        <v>0.55763888888888891</v>
      </c>
      <c r="E2546" s="3">
        <v>0.77361111111111114</v>
      </c>
      <c r="F2546" s="4"/>
      <c r="G2546" s="4"/>
      <c r="H2546" s="3">
        <v>0.375</v>
      </c>
      <c r="I2546" s="3">
        <v>0.375</v>
      </c>
      <c r="J2546" s="4"/>
      <c r="K2546" s="4"/>
      <c r="L2546" s="4"/>
      <c r="M2546" s="4"/>
      <c r="N2546" s="4"/>
      <c r="O2546" s="4"/>
      <c r="P2546" s="4"/>
    </row>
    <row r="2547" spans="1:16" x14ac:dyDescent="0.25">
      <c r="A2547" s="4" t="s">
        <v>229</v>
      </c>
      <c r="B2547" s="3">
        <v>0.44097222222222227</v>
      </c>
      <c r="C2547" s="3">
        <v>0.56944444444444442</v>
      </c>
      <c r="D2547" s="4" t="s">
        <v>52</v>
      </c>
      <c r="E2547" s="4" t="s">
        <v>52</v>
      </c>
      <c r="F2547" s="4"/>
      <c r="G2547" s="4"/>
      <c r="H2547" s="3">
        <v>0.375</v>
      </c>
      <c r="I2547" s="3">
        <v>0.375</v>
      </c>
      <c r="J2547" s="3">
        <v>0.24652777777777779</v>
      </c>
      <c r="K2547" s="4"/>
      <c r="L2547" s="4"/>
      <c r="M2547" s="4"/>
      <c r="N2547" s="4"/>
      <c r="O2547" s="4"/>
      <c r="P2547" s="4"/>
    </row>
    <row r="2548" spans="1:16" x14ac:dyDescent="0.25">
      <c r="A2548" s="4" t="s">
        <v>230</v>
      </c>
      <c r="B2548" s="3">
        <v>0.3527777777777778</v>
      </c>
      <c r="C2548" s="3">
        <v>0.53194444444444444</v>
      </c>
      <c r="D2548" s="3">
        <v>0.5708333333333333</v>
      </c>
      <c r="E2548" s="3">
        <v>0.78402777777777777</v>
      </c>
      <c r="F2548" s="4"/>
      <c r="G2548" s="4"/>
      <c r="H2548" s="3">
        <v>0.375</v>
      </c>
      <c r="I2548" s="3">
        <v>0.375</v>
      </c>
      <c r="J2548" s="4" t="s">
        <v>307</v>
      </c>
      <c r="K2548" s="4"/>
      <c r="L2548" s="4"/>
      <c r="M2548" s="4"/>
      <c r="N2548" s="4"/>
      <c r="O2548" s="4"/>
      <c r="P2548" s="4"/>
    </row>
    <row r="2549" spans="1:16" x14ac:dyDescent="0.25">
      <c r="A2549" s="4" t="s">
        <v>231</v>
      </c>
      <c r="B2549" s="4" t="s">
        <v>52</v>
      </c>
      <c r="C2549" s="4" t="s">
        <v>52</v>
      </c>
      <c r="D2549" s="4" t="s">
        <v>52</v>
      </c>
      <c r="E2549" s="4" t="s">
        <v>52</v>
      </c>
      <c r="F2549" s="4"/>
      <c r="G2549" s="4"/>
      <c r="H2549" s="3">
        <v>0.33333333333333331</v>
      </c>
      <c r="I2549" s="3">
        <v>0.33333333333333331</v>
      </c>
      <c r="J2549" s="3">
        <v>0.33333333333333331</v>
      </c>
      <c r="K2549" s="4"/>
      <c r="L2549" s="4"/>
      <c r="M2549" s="4"/>
      <c r="N2549" s="4"/>
      <c r="O2549" s="4"/>
      <c r="P2549" s="4"/>
    </row>
    <row r="2550" spans="1:16" x14ac:dyDescent="0.25">
      <c r="A2550" s="4" t="s">
        <v>232</v>
      </c>
      <c r="B2550" s="4" t="s">
        <v>25</v>
      </c>
      <c r="C2550" s="4" t="s">
        <v>25</v>
      </c>
      <c r="D2550" s="4" t="s">
        <v>25</v>
      </c>
      <c r="E2550" s="4" t="s">
        <v>25</v>
      </c>
      <c r="F2550" s="4"/>
      <c r="G2550" s="4"/>
      <c r="H2550" s="4"/>
      <c r="I2550" s="4"/>
      <c r="J2550" s="4"/>
      <c r="K2550" s="4"/>
      <c r="L2550" s="4"/>
      <c r="M2550" s="4"/>
      <c r="N2550" s="4"/>
      <c r="O2550" s="4"/>
      <c r="P2550" s="4"/>
    </row>
    <row r="2551" spans="1:16" x14ac:dyDescent="0.25">
      <c r="A2551" s="4" t="s">
        <v>233</v>
      </c>
      <c r="B2551" s="4" t="s">
        <v>25</v>
      </c>
      <c r="C2551" s="4" t="s">
        <v>25</v>
      </c>
      <c r="D2551" s="4" t="s">
        <v>25</v>
      </c>
      <c r="E2551" s="4" t="s">
        <v>25</v>
      </c>
      <c r="F2551" s="4"/>
      <c r="G2551" s="4"/>
      <c r="H2551" s="4"/>
      <c r="I2551" s="4"/>
      <c r="J2551" s="4"/>
      <c r="K2551" s="4"/>
      <c r="L2551" s="4"/>
      <c r="M2551" s="4"/>
      <c r="N2551" s="4"/>
      <c r="O2551" s="4"/>
      <c r="P2551" s="4"/>
    </row>
    <row r="2552" spans="1:16" x14ac:dyDescent="0.25">
      <c r="A2552" s="4" t="s">
        <v>234</v>
      </c>
      <c r="B2552" s="3">
        <v>0.36527777777777781</v>
      </c>
      <c r="C2552" s="3">
        <v>0.52222222222222225</v>
      </c>
      <c r="D2552" s="3">
        <v>0.56180555555555556</v>
      </c>
      <c r="E2552" s="3">
        <v>0.74305555555555547</v>
      </c>
      <c r="F2552" s="4"/>
      <c r="G2552" s="4"/>
      <c r="H2552" s="3">
        <v>0.375</v>
      </c>
      <c r="I2552" s="3">
        <v>0.375</v>
      </c>
      <c r="J2552" s="3">
        <v>3.6805555555555557E-2</v>
      </c>
      <c r="K2552" s="4"/>
      <c r="L2552" s="4"/>
      <c r="M2552" s="4"/>
      <c r="N2552" s="4"/>
      <c r="O2552" s="4"/>
      <c r="P2552" s="4"/>
    </row>
    <row r="2553" spans="1:16" x14ac:dyDescent="0.25">
      <c r="A2553" s="4" t="s">
        <v>235</v>
      </c>
      <c r="B2553" s="3">
        <v>0.35833333333333334</v>
      </c>
      <c r="C2553" s="3">
        <v>0.52013888888888882</v>
      </c>
      <c r="D2553" s="3">
        <v>0.56180555555555556</v>
      </c>
      <c r="E2553" s="3">
        <v>0.80347222222222225</v>
      </c>
      <c r="F2553" s="4"/>
      <c r="G2553" s="4"/>
      <c r="H2553" s="3">
        <v>0.375</v>
      </c>
      <c r="I2553" s="3">
        <v>0.375</v>
      </c>
      <c r="J2553" s="4" t="s">
        <v>308</v>
      </c>
      <c r="K2553" s="4"/>
      <c r="L2553" s="4"/>
      <c r="M2553" s="4"/>
      <c r="N2553" s="4"/>
      <c r="O2553" s="4"/>
      <c r="P2553" s="4"/>
    </row>
    <row r="2554" spans="1:16" x14ac:dyDescent="0.25">
      <c r="A2554" s="4" t="s">
        <v>236</v>
      </c>
      <c r="B2554" s="3">
        <v>0.35972222222222222</v>
      </c>
      <c r="C2554" s="3">
        <v>0.52083333333333337</v>
      </c>
      <c r="D2554" s="3">
        <v>0.56111111111111112</v>
      </c>
      <c r="E2554" s="3">
        <v>0.77638888888888891</v>
      </c>
      <c r="F2554" s="4"/>
      <c r="G2554" s="4"/>
      <c r="H2554" s="3">
        <v>0.375</v>
      </c>
      <c r="I2554" s="3">
        <v>0.375</v>
      </c>
      <c r="J2554" s="4"/>
      <c r="K2554" s="4"/>
      <c r="L2554" s="4"/>
      <c r="M2554" s="4"/>
      <c r="N2554" s="4"/>
      <c r="O2554" s="4"/>
      <c r="P2554" s="4"/>
    </row>
    <row r="2555" spans="1:16" x14ac:dyDescent="0.25">
      <c r="A2555" s="4" t="s">
        <v>237</v>
      </c>
      <c r="B2555" s="3">
        <v>0.37708333333333338</v>
      </c>
      <c r="C2555" s="3">
        <v>0.50902777777777775</v>
      </c>
      <c r="D2555" s="3">
        <v>0.5395833333333333</v>
      </c>
      <c r="E2555" s="3">
        <v>0.79375000000000007</v>
      </c>
      <c r="F2555" s="4"/>
      <c r="G2555" s="4"/>
      <c r="H2555" s="3">
        <v>0.375</v>
      </c>
      <c r="I2555" s="3">
        <v>0.375</v>
      </c>
      <c r="J2555" s="4" t="s">
        <v>309</v>
      </c>
      <c r="K2555" s="4"/>
      <c r="L2555" s="4"/>
      <c r="M2555" s="4"/>
      <c r="N2555" s="4"/>
      <c r="O2555" s="4"/>
      <c r="P2555" s="4"/>
    </row>
    <row r="2556" spans="1:16" x14ac:dyDescent="0.25">
      <c r="A2556" s="4" t="s">
        <v>238</v>
      </c>
      <c r="B2556" s="3">
        <v>0.36041666666666666</v>
      </c>
      <c r="C2556" s="3">
        <v>0.55694444444444446</v>
      </c>
      <c r="D2556" s="3">
        <v>0.60625000000000007</v>
      </c>
      <c r="E2556" s="3">
        <v>0.7597222222222223</v>
      </c>
      <c r="F2556" s="4"/>
      <c r="G2556" s="4"/>
      <c r="H2556" s="3">
        <v>0.33333333333333331</v>
      </c>
      <c r="I2556" s="3">
        <v>0.33333333333333331</v>
      </c>
      <c r="J2556" s="4" t="s">
        <v>310</v>
      </c>
      <c r="K2556" s="4"/>
      <c r="L2556" s="4"/>
      <c r="M2556" s="4"/>
      <c r="N2556" s="4"/>
      <c r="O2556" s="4"/>
      <c r="P2556" s="4"/>
    </row>
    <row r="2557" spans="1:16" x14ac:dyDescent="0.25">
      <c r="A2557" s="4" t="s">
        <v>239</v>
      </c>
      <c r="B2557" s="4" t="s">
        <v>25</v>
      </c>
      <c r="C2557" s="4" t="s">
        <v>25</v>
      </c>
      <c r="D2557" s="4" t="s">
        <v>25</v>
      </c>
      <c r="E2557" s="4" t="s">
        <v>25</v>
      </c>
      <c r="F2557" s="4"/>
      <c r="G2557" s="4"/>
      <c r="H2557" s="4"/>
      <c r="I2557" s="4"/>
      <c r="J2557" s="4"/>
      <c r="K2557" s="4"/>
      <c r="L2557" s="4"/>
      <c r="M2557" s="4"/>
      <c r="N2557" s="4"/>
      <c r="O2557" s="4"/>
      <c r="P2557" s="4"/>
    </row>
    <row r="2558" spans="1:16" x14ac:dyDescent="0.25">
      <c r="A2558" s="4" t="s">
        <v>240</v>
      </c>
      <c r="B2558" s="4" t="s">
        <v>25</v>
      </c>
      <c r="C2558" s="4" t="s">
        <v>25</v>
      </c>
      <c r="D2558" s="4" t="s">
        <v>25</v>
      </c>
      <c r="E2558" s="4" t="s">
        <v>25</v>
      </c>
      <c r="F2558" s="4"/>
      <c r="G2558" s="4"/>
      <c r="H2558" s="4"/>
      <c r="I2558" s="4"/>
      <c r="J2558" s="4"/>
      <c r="K2558" s="4"/>
      <c r="L2558" s="4"/>
      <c r="M2558" s="4"/>
      <c r="N2558" s="4"/>
      <c r="O2558" s="4"/>
      <c r="P2558" s="4"/>
    </row>
    <row r="2559" spans="1:16" x14ac:dyDescent="0.25">
      <c r="A2559" s="4" t="s">
        <v>241</v>
      </c>
      <c r="B2559" s="3">
        <v>0.35416666666666669</v>
      </c>
      <c r="C2559" s="3">
        <v>0.5493055555555556</v>
      </c>
      <c r="D2559" s="3">
        <v>0.58750000000000002</v>
      </c>
      <c r="E2559" s="3">
        <v>0.74444444444444446</v>
      </c>
      <c r="F2559" s="4"/>
      <c r="G2559" s="4"/>
      <c r="H2559" s="3">
        <v>0.375</v>
      </c>
      <c r="I2559" s="3">
        <v>0.375</v>
      </c>
      <c r="J2559" s="3">
        <v>2.2916666666666669E-2</v>
      </c>
      <c r="K2559" s="4"/>
      <c r="L2559" s="4"/>
      <c r="M2559" s="4"/>
      <c r="N2559" s="4"/>
      <c r="O2559" s="4"/>
      <c r="P2559" s="4"/>
    </row>
    <row r="2560" spans="1:16" x14ac:dyDescent="0.25">
      <c r="A2560" s="4" t="s">
        <v>242</v>
      </c>
      <c r="B2560" s="3">
        <v>0.35902777777777778</v>
      </c>
      <c r="C2560" s="3">
        <v>0.51388888888888895</v>
      </c>
      <c r="D2560" s="3">
        <v>0.55833333333333335</v>
      </c>
      <c r="E2560" s="3">
        <v>0.81388888888888899</v>
      </c>
      <c r="F2560" s="4"/>
      <c r="G2560" s="4"/>
      <c r="H2560" s="3">
        <v>0.375</v>
      </c>
      <c r="I2560" s="3">
        <v>0.375</v>
      </c>
      <c r="J2560" s="4" t="s">
        <v>311</v>
      </c>
      <c r="K2560" s="4"/>
      <c r="L2560" s="4"/>
      <c r="M2560" s="4"/>
      <c r="N2560" s="4"/>
      <c r="O2560" s="4"/>
      <c r="P2560" s="4"/>
    </row>
    <row r="2561" spans="1:16" x14ac:dyDescent="0.25">
      <c r="A2561" s="4" t="s">
        <v>243</v>
      </c>
      <c r="B2561" s="3">
        <v>0.35416666666666669</v>
      </c>
      <c r="C2561" s="3">
        <v>0.5708333333333333</v>
      </c>
      <c r="D2561" s="3">
        <v>0.61944444444444446</v>
      </c>
      <c r="E2561" s="3">
        <v>0.74583333333333324</v>
      </c>
      <c r="F2561" s="4"/>
      <c r="G2561" s="4"/>
      <c r="H2561" s="3">
        <v>0.375</v>
      </c>
      <c r="I2561" s="3">
        <v>0.375</v>
      </c>
      <c r="J2561" s="3">
        <v>3.1944444444444449E-2</v>
      </c>
      <c r="K2561" s="4"/>
      <c r="L2561" s="4"/>
      <c r="M2561" s="4"/>
      <c r="N2561" s="4"/>
      <c r="O2561" s="4"/>
      <c r="P2561" s="4"/>
    </row>
    <row r="2562" spans="1:16" x14ac:dyDescent="0.25">
      <c r="A2562" s="4" t="s">
        <v>244</v>
      </c>
      <c r="B2562" s="3">
        <v>0.4236111111111111</v>
      </c>
      <c r="C2562" s="3">
        <v>0.52430555555555558</v>
      </c>
      <c r="D2562" s="3">
        <v>0.5625</v>
      </c>
      <c r="E2562" s="3">
        <v>0.58958333333333335</v>
      </c>
      <c r="F2562" s="4"/>
      <c r="G2562" s="4"/>
      <c r="H2562" s="4"/>
      <c r="I2562" s="4"/>
      <c r="J2562" s="4"/>
      <c r="K2562" s="4"/>
      <c r="L2562" s="4"/>
      <c r="M2562" s="4"/>
      <c r="N2562" s="4"/>
      <c r="O2562" s="4"/>
      <c r="P2562" s="3">
        <v>0.1277777777777778</v>
      </c>
    </row>
    <row r="2563" spans="1:16" x14ac:dyDescent="0.25">
      <c r="A2563" s="4" t="s">
        <v>245</v>
      </c>
      <c r="B2563" s="4" t="s">
        <v>52</v>
      </c>
      <c r="C2563" s="4" t="s">
        <v>52</v>
      </c>
      <c r="D2563" s="4" t="s">
        <v>52</v>
      </c>
      <c r="E2563" s="4" t="s">
        <v>52</v>
      </c>
      <c r="F2563" s="4"/>
      <c r="G2563" s="4"/>
      <c r="H2563" s="3">
        <v>0.33333333333333331</v>
      </c>
      <c r="I2563" s="3">
        <v>0.33333333333333331</v>
      </c>
      <c r="J2563" s="3">
        <v>0.33333333333333331</v>
      </c>
      <c r="K2563" s="4"/>
      <c r="L2563" s="4"/>
      <c r="M2563" s="4"/>
      <c r="N2563" s="4"/>
      <c r="O2563" s="4"/>
      <c r="P2563" s="4"/>
    </row>
    <row r="2564" spans="1:16" x14ac:dyDescent="0.25">
      <c r="A2564" s="4" t="s">
        <v>246</v>
      </c>
      <c r="B2564" s="4" t="s">
        <v>25</v>
      </c>
      <c r="C2564" s="4" t="s">
        <v>25</v>
      </c>
      <c r="D2564" s="4" t="s">
        <v>25</v>
      </c>
      <c r="E2564" s="4" t="s">
        <v>25</v>
      </c>
      <c r="F2564" s="4"/>
      <c r="G2564" s="4"/>
      <c r="H2564" s="4"/>
      <c r="I2564" s="4"/>
      <c r="J2564" s="4"/>
      <c r="K2564" s="4"/>
      <c r="L2564" s="4"/>
      <c r="M2564" s="4"/>
      <c r="N2564" s="4"/>
      <c r="O2564" s="4"/>
      <c r="P2564" s="4"/>
    </row>
    <row r="2565" spans="1:16" x14ac:dyDescent="0.25">
      <c r="A2565" s="4" t="s">
        <v>247</v>
      </c>
      <c r="B2565" s="4" t="s">
        <v>25</v>
      </c>
      <c r="C2565" s="4" t="s">
        <v>25</v>
      </c>
      <c r="D2565" s="4" t="s">
        <v>25</v>
      </c>
      <c r="E2565" s="4" t="s">
        <v>25</v>
      </c>
      <c r="F2565" s="4"/>
      <c r="G2565" s="4"/>
      <c r="H2565" s="4"/>
      <c r="I2565" s="4"/>
      <c r="J2565" s="4"/>
      <c r="K2565" s="4"/>
      <c r="L2565" s="4"/>
      <c r="M2565" s="4"/>
      <c r="N2565" s="4"/>
      <c r="O2565" s="4"/>
      <c r="P2565" s="4"/>
    </row>
    <row r="2566" spans="1:16" x14ac:dyDescent="0.25">
      <c r="A2566" s="4" t="s">
        <v>248</v>
      </c>
      <c r="B2566" s="3">
        <v>0.3576388888888889</v>
      </c>
      <c r="C2566" s="3">
        <v>0.50972222222222219</v>
      </c>
      <c r="D2566" s="3">
        <v>0.54652777777777783</v>
      </c>
      <c r="E2566" s="3">
        <v>0.74375000000000002</v>
      </c>
      <c r="F2566" s="4"/>
      <c r="G2566" s="4"/>
      <c r="H2566" s="3">
        <v>0.375</v>
      </c>
      <c r="I2566" s="3">
        <v>0.375</v>
      </c>
      <c r="J2566" s="3">
        <v>2.2222222222222223E-2</v>
      </c>
      <c r="K2566" s="4"/>
      <c r="L2566" s="4"/>
      <c r="M2566" s="4"/>
      <c r="N2566" s="4"/>
      <c r="O2566" s="4"/>
      <c r="P2566" s="4"/>
    </row>
    <row r="2567" spans="1:16" x14ac:dyDescent="0.25">
      <c r="A2567" s="4" t="s">
        <v>249</v>
      </c>
      <c r="B2567" s="3">
        <v>0.36041666666666666</v>
      </c>
      <c r="C2567" s="3">
        <v>0.57500000000000007</v>
      </c>
      <c r="D2567" s="4" t="s">
        <v>52</v>
      </c>
      <c r="E2567" s="4" t="s">
        <v>52</v>
      </c>
      <c r="F2567" s="4"/>
      <c r="G2567" s="4"/>
      <c r="H2567" s="3">
        <v>0.375</v>
      </c>
      <c r="I2567" s="3">
        <v>0.375</v>
      </c>
      <c r="J2567" s="3">
        <v>0.16041666666666668</v>
      </c>
      <c r="K2567" s="4"/>
      <c r="L2567" s="4"/>
      <c r="M2567" s="4"/>
      <c r="N2567" s="4"/>
      <c r="O2567" s="4"/>
      <c r="P2567" s="4"/>
    </row>
    <row r="2568" spans="1:16" x14ac:dyDescent="0.25">
      <c r="A2568" s="4" t="s">
        <v>251</v>
      </c>
      <c r="B2568" s="4" t="s">
        <v>52</v>
      </c>
      <c r="C2568" s="4" t="s">
        <v>52</v>
      </c>
      <c r="D2568" s="4" t="s">
        <v>52</v>
      </c>
      <c r="E2568" s="4" t="s">
        <v>52</v>
      </c>
      <c r="F2568" s="4"/>
      <c r="G2568" s="4"/>
      <c r="H2568" s="3">
        <v>0.375</v>
      </c>
      <c r="I2568" s="3">
        <v>0.375</v>
      </c>
      <c r="J2568" s="3">
        <v>0.375</v>
      </c>
      <c r="K2568" s="4"/>
      <c r="L2568" s="4"/>
      <c r="M2568" s="4"/>
      <c r="N2568" s="4"/>
      <c r="O2568" s="4"/>
      <c r="P2568" s="4"/>
    </row>
    <row r="2569" spans="1:16" x14ac:dyDescent="0.25">
      <c r="A2569" s="4" t="s">
        <v>256</v>
      </c>
      <c r="B2569" s="4" t="s">
        <v>52</v>
      </c>
      <c r="C2569" s="4" t="s">
        <v>52</v>
      </c>
      <c r="D2569" s="4" t="s">
        <v>52</v>
      </c>
      <c r="E2569" s="4" t="s">
        <v>52</v>
      </c>
      <c r="F2569" s="4"/>
      <c r="G2569" s="4"/>
      <c r="H2569" s="3">
        <v>0.375</v>
      </c>
      <c r="I2569" s="3">
        <v>0.375</v>
      </c>
      <c r="J2569" s="3">
        <v>0.375</v>
      </c>
      <c r="K2569" s="4"/>
      <c r="L2569" s="4"/>
      <c r="M2569" s="4"/>
      <c r="N2569" s="4"/>
      <c r="O2569" s="4"/>
      <c r="P2569" s="4"/>
    </row>
    <row r="2570" spans="1:16" x14ac:dyDescent="0.25">
      <c r="A2570" s="4" t="s">
        <v>259</v>
      </c>
      <c r="B2570" s="3">
        <v>0.56388888888888888</v>
      </c>
      <c r="C2570" s="3">
        <v>0.75694444444444453</v>
      </c>
      <c r="D2570" s="4" t="s">
        <v>52</v>
      </c>
      <c r="E2570" s="4" t="s">
        <v>52</v>
      </c>
      <c r="F2570" s="4"/>
      <c r="G2570" s="4"/>
      <c r="H2570" s="3">
        <v>0.33333333333333331</v>
      </c>
      <c r="I2570" s="3">
        <v>0.33333333333333331</v>
      </c>
      <c r="J2570" s="3">
        <v>0.14027777777777778</v>
      </c>
      <c r="K2570" s="4"/>
      <c r="L2570" s="4"/>
      <c r="M2570" s="4"/>
      <c r="N2570" s="4"/>
      <c r="O2570" s="4"/>
      <c r="P2570" s="4"/>
    </row>
    <row r="2571" spans="1:16" x14ac:dyDescent="0.25">
      <c r="A2571" s="4" t="s">
        <v>260</v>
      </c>
      <c r="B2571" s="4" t="s">
        <v>25</v>
      </c>
      <c r="C2571" s="4" t="s">
        <v>25</v>
      </c>
      <c r="D2571" s="4" t="s">
        <v>25</v>
      </c>
      <c r="E2571" s="4" t="s">
        <v>25</v>
      </c>
      <c r="F2571" s="4"/>
      <c r="G2571" s="4"/>
      <c r="H2571" s="4"/>
      <c r="I2571" s="4"/>
      <c r="J2571" s="4"/>
      <c r="K2571" s="4"/>
      <c r="L2571" s="4"/>
      <c r="M2571" s="4"/>
      <c r="N2571" s="4"/>
      <c r="O2571" s="4"/>
      <c r="P2571" s="4"/>
    </row>
    <row r="2572" spans="1:16" x14ac:dyDescent="0.25">
      <c r="A2572" s="4" t="s">
        <v>261</v>
      </c>
      <c r="B2572" s="4" t="s">
        <v>25</v>
      </c>
      <c r="C2572" s="4" t="s">
        <v>25</v>
      </c>
      <c r="D2572" s="4" t="s">
        <v>25</v>
      </c>
      <c r="E2572" s="4" t="s">
        <v>25</v>
      </c>
      <c r="F2572" s="4"/>
      <c r="G2572" s="4"/>
      <c r="H2572" s="4"/>
      <c r="I2572" s="4"/>
      <c r="J2572" s="4"/>
      <c r="K2572" s="4"/>
      <c r="L2572" s="4"/>
      <c r="M2572" s="4"/>
      <c r="N2572" s="4"/>
      <c r="O2572" s="4"/>
      <c r="P2572" s="4"/>
    </row>
    <row r="2573" spans="1:16" x14ac:dyDescent="0.25">
      <c r="A2573" s="4" t="s">
        <v>262</v>
      </c>
      <c r="B2573" s="3">
        <v>0.37986111111111115</v>
      </c>
      <c r="C2573" s="3">
        <v>0.54861111111111105</v>
      </c>
      <c r="D2573" s="3">
        <v>0.5854166666666667</v>
      </c>
      <c r="E2573" s="3">
        <v>0.74097222222222225</v>
      </c>
      <c r="F2573" s="4"/>
      <c r="G2573" s="4"/>
      <c r="H2573" s="3">
        <v>0.375</v>
      </c>
      <c r="I2573" s="3">
        <v>0.375</v>
      </c>
      <c r="J2573" s="3">
        <v>5.0694444444444452E-2</v>
      </c>
      <c r="K2573" s="4"/>
      <c r="L2573" s="4"/>
      <c r="M2573" s="4"/>
      <c r="N2573" s="4"/>
      <c r="O2573" s="4"/>
      <c r="P2573" s="4"/>
    </row>
    <row r="2574" spans="1:16" x14ac:dyDescent="0.25">
      <c r="A2574" s="4" t="s">
        <v>263</v>
      </c>
      <c r="B2574" s="3">
        <v>0.3611111111111111</v>
      </c>
      <c r="C2574" s="3">
        <v>0.51111111111111118</v>
      </c>
      <c r="D2574" s="3">
        <v>0.54999999999999993</v>
      </c>
      <c r="E2574" s="3">
        <v>0.80694444444444446</v>
      </c>
      <c r="F2574" s="4"/>
      <c r="G2574" s="4"/>
      <c r="H2574" s="3">
        <v>0.375</v>
      </c>
      <c r="I2574" s="3">
        <v>0.375</v>
      </c>
      <c r="J2574" s="4" t="s">
        <v>312</v>
      </c>
      <c r="K2574" s="4"/>
      <c r="L2574" s="4"/>
      <c r="M2574" s="4"/>
      <c r="N2574" s="4"/>
      <c r="O2574" s="4"/>
      <c r="P2574" s="4"/>
    </row>
    <row r="2575" spans="1:16" x14ac:dyDescent="0.25">
      <c r="A2575" s="4" t="s">
        <v>264</v>
      </c>
      <c r="B2575" s="3">
        <v>0.3611111111111111</v>
      </c>
      <c r="C2575" s="3">
        <v>0.5625</v>
      </c>
      <c r="D2575" s="3">
        <v>0.6166666666666667</v>
      </c>
      <c r="E2575" s="3">
        <v>0.79513888888888884</v>
      </c>
      <c r="F2575" s="4"/>
      <c r="G2575" s="4"/>
      <c r="H2575" s="3">
        <v>0.375</v>
      </c>
      <c r="I2575" s="3">
        <v>0.375</v>
      </c>
      <c r="J2575" s="4"/>
      <c r="K2575" s="4"/>
      <c r="L2575" s="4"/>
      <c r="M2575" s="4"/>
      <c r="N2575" s="4"/>
      <c r="O2575" s="4"/>
      <c r="P2575" s="4"/>
    </row>
    <row r="2577" spans="1:13" x14ac:dyDescent="0.25">
      <c r="A2577" s="7" t="s">
        <v>45</v>
      </c>
    </row>
    <row r="2580" spans="1:13" x14ac:dyDescent="0.25">
      <c r="A2580" s="7" t="s">
        <v>46</v>
      </c>
    </row>
    <row r="2581" spans="1:13" x14ac:dyDescent="0.25">
      <c r="A2581" s="7" t="s">
        <v>131</v>
      </c>
      <c r="F2581" s="7" t="s">
        <v>47</v>
      </c>
    </row>
    <row r="2582" spans="1:13" x14ac:dyDescent="0.25">
      <c r="F2582" s="7"/>
    </row>
    <row r="2586" spans="1:13" x14ac:dyDescent="0.25">
      <c r="G2586" s="1" t="s">
        <v>18</v>
      </c>
    </row>
    <row r="2587" spans="1:13" x14ac:dyDescent="0.25">
      <c r="A2587" s="1" t="s">
        <v>1</v>
      </c>
      <c r="B2587" t="s">
        <v>2</v>
      </c>
      <c r="H2587" s="1" t="s">
        <v>19</v>
      </c>
      <c r="I2587" s="1" t="s">
        <v>20</v>
      </c>
      <c r="J2587" s="1" t="s">
        <v>21</v>
      </c>
      <c r="K2587" s="1" t="s">
        <v>22</v>
      </c>
      <c r="L2587" s="1" t="s">
        <v>23</v>
      </c>
      <c r="M2587" s="1" t="s">
        <v>24</v>
      </c>
    </row>
    <row r="2588" spans="1:13" x14ac:dyDescent="0.25">
      <c r="A2588" s="1" t="s">
        <v>3</v>
      </c>
      <c r="B2588" t="s">
        <v>4</v>
      </c>
      <c r="G2588" s="1" t="s">
        <v>220</v>
      </c>
      <c r="H2588" s="3">
        <v>0.375</v>
      </c>
      <c r="I2588" s="3">
        <v>0.5</v>
      </c>
      <c r="J2588" s="3">
        <v>0.54166666666666663</v>
      </c>
      <c r="K2588" s="3">
        <v>0.75</v>
      </c>
      <c r="L2588" s="4"/>
      <c r="M2588" s="4"/>
    </row>
    <row r="2589" spans="1:13" x14ac:dyDescent="0.25">
      <c r="A2589" s="1" t="s">
        <v>5</v>
      </c>
      <c r="B2589" t="s">
        <v>6</v>
      </c>
      <c r="G2589" s="1" t="s">
        <v>221</v>
      </c>
      <c r="H2589" s="3">
        <v>0.375</v>
      </c>
      <c r="I2589" s="3">
        <v>0.5</v>
      </c>
      <c r="J2589" s="3">
        <v>0.54166666666666663</v>
      </c>
      <c r="K2589" s="3">
        <v>0.79166666666666663</v>
      </c>
      <c r="L2589" s="4"/>
      <c r="M2589" s="4"/>
    </row>
    <row r="2590" spans="1:13" x14ac:dyDescent="0.25">
      <c r="G2590" s="1" t="s">
        <v>222</v>
      </c>
      <c r="H2590" s="3">
        <v>0.375</v>
      </c>
      <c r="I2590" s="3">
        <v>0.5</v>
      </c>
      <c r="J2590" s="3">
        <v>0.54166666666666663</v>
      </c>
      <c r="K2590" s="3">
        <v>0.79166666666666663</v>
      </c>
      <c r="L2590" s="4"/>
      <c r="M2590" s="4"/>
    </row>
    <row r="2591" spans="1:13" x14ac:dyDescent="0.25">
      <c r="A2591" s="1" t="s">
        <v>7</v>
      </c>
      <c r="B2591" t="s">
        <v>133</v>
      </c>
      <c r="G2591" s="1" t="s">
        <v>223</v>
      </c>
      <c r="H2591" s="3">
        <v>0.375</v>
      </c>
      <c r="I2591" s="3">
        <v>0.5</v>
      </c>
      <c r="J2591" s="3">
        <v>0.54166666666666663</v>
      </c>
      <c r="K2591" s="3">
        <v>0.79166666666666663</v>
      </c>
      <c r="L2591" s="4"/>
      <c r="M2591" s="4"/>
    </row>
    <row r="2592" spans="1:13" x14ac:dyDescent="0.25">
      <c r="A2592" s="1" t="s">
        <v>9</v>
      </c>
      <c r="B2592" t="s">
        <v>134</v>
      </c>
      <c r="D2592" s="1" t="s">
        <v>11</v>
      </c>
      <c r="E2592" t="s">
        <v>134</v>
      </c>
      <c r="G2592" s="1" t="s">
        <v>224</v>
      </c>
      <c r="H2592" s="3">
        <v>0.375</v>
      </c>
      <c r="I2592" s="3">
        <v>0.5</v>
      </c>
      <c r="J2592" s="3">
        <v>0.54166666666666663</v>
      </c>
      <c r="K2592" s="3">
        <v>0.79166666666666663</v>
      </c>
      <c r="L2592" s="4"/>
      <c r="M2592" s="4"/>
    </row>
    <row r="2593" spans="1:16" x14ac:dyDescent="0.25">
      <c r="A2593" s="1" t="s">
        <v>12</v>
      </c>
      <c r="D2593" s="1" t="s">
        <v>13</v>
      </c>
      <c r="E2593" s="2">
        <v>42506</v>
      </c>
      <c r="G2593" s="1" t="s">
        <v>225</v>
      </c>
      <c r="H2593" s="4" t="s">
        <v>25</v>
      </c>
      <c r="I2593" s="4" t="s">
        <v>25</v>
      </c>
      <c r="J2593" s="4" t="s">
        <v>25</v>
      </c>
      <c r="K2593" s="4" t="s">
        <v>25</v>
      </c>
      <c r="L2593" s="4" t="s">
        <v>25</v>
      </c>
      <c r="M2593" s="4" t="s">
        <v>25</v>
      </c>
    </row>
    <row r="2594" spans="1:16" x14ac:dyDescent="0.25">
      <c r="A2594" s="1" t="s">
        <v>14</v>
      </c>
      <c r="B2594" t="s">
        <v>58</v>
      </c>
      <c r="G2594" s="1" t="s">
        <v>226</v>
      </c>
      <c r="H2594" s="4" t="s">
        <v>25</v>
      </c>
      <c r="I2594" s="4" t="s">
        <v>25</v>
      </c>
      <c r="J2594" s="4" t="s">
        <v>25</v>
      </c>
      <c r="K2594" s="4" t="s">
        <v>25</v>
      </c>
      <c r="L2594" s="4" t="s">
        <v>25</v>
      </c>
      <c r="M2594" s="4" t="s">
        <v>25</v>
      </c>
    </row>
    <row r="2595" spans="1:16" x14ac:dyDescent="0.25">
      <c r="A2595" s="1" t="s">
        <v>16</v>
      </c>
      <c r="B2595" t="s">
        <v>17</v>
      </c>
    </row>
    <row r="2598" spans="1:16" x14ac:dyDescent="0.25">
      <c r="A2598" s="5" t="s">
        <v>26</v>
      </c>
      <c r="B2598" s="5" t="s">
        <v>27</v>
      </c>
      <c r="C2598" s="5" t="s">
        <v>28</v>
      </c>
      <c r="D2598" s="5" t="s">
        <v>29</v>
      </c>
      <c r="E2598" s="5" t="s">
        <v>30</v>
      </c>
      <c r="F2598" s="5" t="s">
        <v>31</v>
      </c>
      <c r="G2598" s="5" t="s">
        <v>32</v>
      </c>
      <c r="H2598" s="5" t="s">
        <v>33</v>
      </c>
      <c r="I2598" s="5" t="s">
        <v>34</v>
      </c>
      <c r="J2598" s="5" t="s">
        <v>35</v>
      </c>
      <c r="K2598" s="5" t="s">
        <v>36</v>
      </c>
      <c r="L2598" s="5" t="s">
        <v>37</v>
      </c>
      <c r="M2598" s="5" t="s">
        <v>38</v>
      </c>
      <c r="N2598" s="5" t="s">
        <v>39</v>
      </c>
      <c r="O2598" s="5" t="s">
        <v>40</v>
      </c>
      <c r="P2598" s="5" t="s">
        <v>41</v>
      </c>
    </row>
    <row r="2599" spans="1:16" x14ac:dyDescent="0.25">
      <c r="A2599" s="4"/>
      <c r="B2599" s="4"/>
      <c r="C2599" s="4"/>
      <c r="D2599" s="4"/>
      <c r="E2599" s="4"/>
      <c r="F2599" s="4"/>
      <c r="G2599" s="4"/>
      <c r="H2599" s="6">
        <v>8.0416666666666661</v>
      </c>
      <c r="I2599" s="6">
        <v>8.0340277777777782</v>
      </c>
      <c r="J2599" s="6">
        <v>1.4937500000000001</v>
      </c>
      <c r="K2599" s="3">
        <v>0</v>
      </c>
      <c r="L2599" s="3">
        <v>0</v>
      </c>
      <c r="M2599" s="3">
        <v>0</v>
      </c>
      <c r="N2599" s="3">
        <v>0</v>
      </c>
      <c r="O2599" s="3">
        <v>7.6388888888888886E-3</v>
      </c>
      <c r="P2599" s="3">
        <v>2.9166666666666664E-2</v>
      </c>
    </row>
    <row r="2600" spans="1:16" x14ac:dyDescent="0.25">
      <c r="A2600" s="4" t="s">
        <v>227</v>
      </c>
      <c r="B2600" s="3">
        <v>0.33263888888888887</v>
      </c>
      <c r="C2600" s="3">
        <v>0.54236111111111118</v>
      </c>
      <c r="D2600" s="3">
        <v>0.58333333333333337</v>
      </c>
      <c r="E2600" s="3">
        <v>0.71319444444444446</v>
      </c>
      <c r="F2600" s="4"/>
      <c r="G2600" s="4"/>
      <c r="H2600" s="3">
        <v>0.33333333333333331</v>
      </c>
      <c r="I2600" s="3">
        <v>0.33333333333333331</v>
      </c>
      <c r="J2600" s="4"/>
      <c r="K2600" s="4"/>
      <c r="L2600" s="4"/>
      <c r="M2600" s="4"/>
      <c r="N2600" s="4"/>
      <c r="O2600" s="4"/>
      <c r="P2600" s="4"/>
    </row>
    <row r="2601" spans="1:16" x14ac:dyDescent="0.25">
      <c r="A2601" s="4" t="s">
        <v>228</v>
      </c>
      <c r="B2601" s="3">
        <v>0.33402777777777781</v>
      </c>
      <c r="C2601" s="3">
        <v>0.49861111111111112</v>
      </c>
      <c r="D2601" s="3">
        <v>0.53680555555555554</v>
      </c>
      <c r="E2601" s="3">
        <v>0.75208333333333333</v>
      </c>
      <c r="F2601" s="4"/>
      <c r="G2601" s="4"/>
      <c r="H2601" s="3">
        <v>0.375</v>
      </c>
      <c r="I2601" s="3">
        <v>0.375</v>
      </c>
      <c r="J2601" s="4"/>
      <c r="K2601" s="4"/>
      <c r="L2601" s="4"/>
      <c r="M2601" s="4"/>
      <c r="N2601" s="4"/>
      <c r="O2601" s="4"/>
      <c r="P2601" s="4"/>
    </row>
    <row r="2602" spans="1:16" x14ac:dyDescent="0.25">
      <c r="A2602" s="4" t="s">
        <v>229</v>
      </c>
      <c r="B2602" s="3">
        <v>0.33402777777777781</v>
      </c>
      <c r="C2602" s="3">
        <v>0.49444444444444446</v>
      </c>
      <c r="D2602" s="3">
        <v>0.53541666666666665</v>
      </c>
      <c r="E2602" s="3">
        <v>0.75486111111111109</v>
      </c>
      <c r="F2602" s="4"/>
      <c r="G2602" s="4"/>
      <c r="H2602" s="3">
        <v>0.375</v>
      </c>
      <c r="I2602" s="3">
        <v>0.375</v>
      </c>
      <c r="J2602" s="4"/>
      <c r="K2602" s="4"/>
      <c r="L2602" s="4"/>
      <c r="M2602" s="4"/>
      <c r="N2602" s="4"/>
      <c r="O2602" s="4"/>
      <c r="P2602" s="4"/>
    </row>
    <row r="2603" spans="1:16" x14ac:dyDescent="0.25">
      <c r="A2603" s="4" t="s">
        <v>230</v>
      </c>
      <c r="B2603" s="3">
        <v>0.34027777777777773</v>
      </c>
      <c r="C2603" s="3">
        <v>0.48888888888888887</v>
      </c>
      <c r="D2603" s="3">
        <v>0.53125</v>
      </c>
      <c r="E2603" s="3">
        <v>0.75</v>
      </c>
      <c r="F2603" s="4"/>
      <c r="G2603" s="4"/>
      <c r="H2603" s="3">
        <v>0.375</v>
      </c>
      <c r="I2603" s="3">
        <v>0.36736111111111108</v>
      </c>
      <c r="J2603" s="4"/>
      <c r="K2603" s="4"/>
      <c r="L2603" s="4"/>
      <c r="M2603" s="4"/>
      <c r="N2603" s="4"/>
      <c r="O2603" s="3">
        <v>7.6388888888888886E-3</v>
      </c>
      <c r="P2603" s="4"/>
    </row>
    <row r="2604" spans="1:16" x14ac:dyDescent="0.25">
      <c r="A2604" s="4" t="s">
        <v>231</v>
      </c>
      <c r="B2604" s="3">
        <v>0.33055555555555555</v>
      </c>
      <c r="C2604" s="3">
        <v>0.50902777777777775</v>
      </c>
      <c r="D2604" s="3">
        <v>0.5493055555555556</v>
      </c>
      <c r="E2604" s="3">
        <v>0.75138888888888899</v>
      </c>
      <c r="F2604" s="4"/>
      <c r="G2604" s="4"/>
      <c r="H2604" s="3">
        <v>0.375</v>
      </c>
      <c r="I2604" s="3">
        <v>0.375</v>
      </c>
      <c r="J2604" s="4"/>
      <c r="K2604" s="4"/>
      <c r="L2604" s="4"/>
      <c r="M2604" s="4"/>
      <c r="N2604" s="4"/>
      <c r="O2604" s="4"/>
      <c r="P2604" s="4"/>
    </row>
    <row r="2605" spans="1:16" x14ac:dyDescent="0.25">
      <c r="A2605" s="4" t="s">
        <v>232</v>
      </c>
      <c r="B2605" s="4" t="s">
        <v>25</v>
      </c>
      <c r="C2605" s="4" t="s">
        <v>25</v>
      </c>
      <c r="D2605" s="4" t="s">
        <v>25</v>
      </c>
      <c r="E2605" s="4" t="s">
        <v>25</v>
      </c>
      <c r="F2605" s="4" t="s">
        <v>25</v>
      </c>
      <c r="G2605" s="4" t="s">
        <v>25</v>
      </c>
      <c r="H2605" s="4"/>
      <c r="I2605" s="4"/>
      <c r="J2605" s="4"/>
      <c r="K2605" s="4"/>
      <c r="L2605" s="4"/>
      <c r="M2605" s="4"/>
      <c r="N2605" s="4"/>
      <c r="O2605" s="4"/>
      <c r="P2605" s="4"/>
    </row>
    <row r="2606" spans="1:16" x14ac:dyDescent="0.25">
      <c r="A2606" s="4" t="s">
        <v>233</v>
      </c>
      <c r="B2606" s="4" t="s">
        <v>25</v>
      </c>
      <c r="C2606" s="4" t="s">
        <v>25</v>
      </c>
      <c r="D2606" s="4" t="s">
        <v>25</v>
      </c>
      <c r="E2606" s="4" t="s">
        <v>25</v>
      </c>
      <c r="F2606" s="4" t="s">
        <v>25</v>
      </c>
      <c r="G2606" s="4" t="s">
        <v>25</v>
      </c>
      <c r="H2606" s="4"/>
      <c r="I2606" s="4"/>
      <c r="J2606" s="4"/>
      <c r="K2606" s="4"/>
      <c r="L2606" s="4"/>
      <c r="M2606" s="4"/>
      <c r="N2606" s="4"/>
      <c r="O2606" s="4"/>
      <c r="P2606" s="4"/>
    </row>
    <row r="2607" spans="1:16" x14ac:dyDescent="0.25">
      <c r="A2607" s="4" t="s">
        <v>234</v>
      </c>
      <c r="B2607" s="3">
        <v>0.34166666666666662</v>
      </c>
      <c r="C2607" s="3">
        <v>0.51527777777777783</v>
      </c>
      <c r="D2607" s="3">
        <v>0.55486111111111114</v>
      </c>
      <c r="E2607" s="3">
        <v>0.71458333333333324</v>
      </c>
      <c r="F2607" s="4"/>
      <c r="G2607" s="4"/>
      <c r="H2607" s="3">
        <v>0.33333333333333331</v>
      </c>
      <c r="I2607" s="3">
        <v>0.33333333333333331</v>
      </c>
      <c r="J2607" s="4"/>
      <c r="K2607" s="4"/>
      <c r="L2607" s="4"/>
      <c r="M2607" s="4"/>
      <c r="N2607" s="4"/>
      <c r="O2607" s="4"/>
      <c r="P2607" s="4"/>
    </row>
    <row r="2608" spans="1:16" x14ac:dyDescent="0.25">
      <c r="A2608" s="4" t="s">
        <v>235</v>
      </c>
      <c r="B2608" s="3">
        <v>0.33680555555555558</v>
      </c>
      <c r="C2608" s="3">
        <v>0.49652777777777773</v>
      </c>
      <c r="D2608" s="3">
        <v>0.53819444444444442</v>
      </c>
      <c r="E2608" s="3">
        <v>0.75416666666666676</v>
      </c>
      <c r="F2608" s="4"/>
      <c r="G2608" s="4"/>
      <c r="H2608" s="3">
        <v>0.375</v>
      </c>
      <c r="I2608" s="3">
        <v>0.375</v>
      </c>
      <c r="J2608" s="4"/>
      <c r="K2608" s="4"/>
      <c r="L2608" s="4"/>
      <c r="M2608" s="4"/>
      <c r="N2608" s="4"/>
      <c r="O2608" s="4"/>
      <c r="P2608" s="4"/>
    </row>
    <row r="2609" spans="1:16" x14ac:dyDescent="0.25">
      <c r="A2609" s="4" t="s">
        <v>236</v>
      </c>
      <c r="B2609" s="3">
        <v>0.33333333333333331</v>
      </c>
      <c r="C2609" s="3">
        <v>0.67708333333333337</v>
      </c>
      <c r="D2609" s="3">
        <v>0.71805555555555556</v>
      </c>
      <c r="E2609" s="3">
        <v>0.75416666666666676</v>
      </c>
      <c r="F2609" s="4"/>
      <c r="G2609" s="4"/>
      <c r="H2609" s="3">
        <v>0.375</v>
      </c>
      <c r="I2609" s="3">
        <v>0.375</v>
      </c>
      <c r="J2609" s="4"/>
      <c r="K2609" s="4"/>
      <c r="L2609" s="4"/>
      <c r="M2609" s="4"/>
      <c r="N2609" s="4"/>
      <c r="O2609" s="4"/>
      <c r="P2609" s="4"/>
    </row>
    <row r="2610" spans="1:16" x14ac:dyDescent="0.25">
      <c r="A2610" s="4" t="s">
        <v>237</v>
      </c>
      <c r="B2610" s="3">
        <v>0.33333333333333331</v>
      </c>
      <c r="C2610" s="3">
        <v>0.51458333333333328</v>
      </c>
      <c r="D2610" s="3">
        <v>0.55902777777777779</v>
      </c>
      <c r="E2610" s="3">
        <v>0.75347222222222221</v>
      </c>
      <c r="F2610" s="4"/>
      <c r="G2610" s="4"/>
      <c r="H2610" s="3">
        <v>0.375</v>
      </c>
      <c r="I2610" s="3">
        <v>0.375</v>
      </c>
      <c r="J2610" s="4"/>
      <c r="K2610" s="4"/>
      <c r="L2610" s="4"/>
      <c r="M2610" s="4"/>
      <c r="N2610" s="4"/>
      <c r="O2610" s="4"/>
      <c r="P2610" s="4"/>
    </row>
    <row r="2611" spans="1:16" x14ac:dyDescent="0.25">
      <c r="A2611" s="4" t="s">
        <v>238</v>
      </c>
      <c r="B2611" s="3">
        <v>0.33402777777777781</v>
      </c>
      <c r="C2611" s="3">
        <v>0.51250000000000007</v>
      </c>
      <c r="D2611" s="3">
        <v>0.55763888888888891</v>
      </c>
      <c r="E2611" s="3">
        <v>0.75624999999999998</v>
      </c>
      <c r="F2611" s="4"/>
      <c r="G2611" s="4"/>
      <c r="H2611" s="3">
        <v>0.375</v>
      </c>
      <c r="I2611" s="3">
        <v>0.375</v>
      </c>
      <c r="J2611" s="4"/>
      <c r="K2611" s="4"/>
      <c r="L2611" s="4"/>
      <c r="M2611" s="4"/>
      <c r="N2611" s="4"/>
      <c r="O2611" s="4"/>
      <c r="P2611" s="4"/>
    </row>
    <row r="2612" spans="1:16" x14ac:dyDescent="0.25">
      <c r="A2612" s="4" t="s">
        <v>239</v>
      </c>
      <c r="B2612" s="4" t="s">
        <v>25</v>
      </c>
      <c r="C2612" s="4" t="s">
        <v>25</v>
      </c>
      <c r="D2612" s="4" t="s">
        <v>25</v>
      </c>
      <c r="E2612" s="4" t="s">
        <v>25</v>
      </c>
      <c r="F2612" s="4" t="s">
        <v>25</v>
      </c>
      <c r="G2612" s="4" t="s">
        <v>25</v>
      </c>
      <c r="H2612" s="4"/>
      <c r="I2612" s="4"/>
      <c r="J2612" s="4"/>
      <c r="K2612" s="4"/>
      <c r="L2612" s="4"/>
      <c r="M2612" s="4"/>
      <c r="N2612" s="4"/>
      <c r="O2612" s="4"/>
      <c r="P2612" s="4"/>
    </row>
    <row r="2613" spans="1:16" x14ac:dyDescent="0.25">
      <c r="A2613" s="4" t="s">
        <v>240</v>
      </c>
      <c r="B2613" s="4" t="s">
        <v>25</v>
      </c>
      <c r="C2613" s="4" t="s">
        <v>25</v>
      </c>
      <c r="D2613" s="4" t="s">
        <v>25</v>
      </c>
      <c r="E2613" s="4" t="s">
        <v>25</v>
      </c>
      <c r="F2613" s="4" t="s">
        <v>25</v>
      </c>
      <c r="G2613" s="4" t="s">
        <v>25</v>
      </c>
      <c r="H2613" s="4"/>
      <c r="I2613" s="4"/>
      <c r="J2613" s="4"/>
      <c r="K2613" s="4"/>
      <c r="L2613" s="4"/>
      <c r="M2613" s="4"/>
      <c r="N2613" s="4"/>
      <c r="O2613" s="4"/>
      <c r="P2613" s="4"/>
    </row>
    <row r="2614" spans="1:16" x14ac:dyDescent="0.25">
      <c r="A2614" s="4" t="s">
        <v>241</v>
      </c>
      <c r="B2614" s="3">
        <v>0.33402777777777781</v>
      </c>
      <c r="C2614" s="3">
        <v>0.54305555555555551</v>
      </c>
      <c r="D2614" s="3">
        <v>0.58402777777777781</v>
      </c>
      <c r="E2614" s="3">
        <v>0.71180555555555547</v>
      </c>
      <c r="F2614" s="4"/>
      <c r="G2614" s="4"/>
      <c r="H2614" s="3">
        <v>0.33333333333333331</v>
      </c>
      <c r="I2614" s="3">
        <v>0.33333333333333331</v>
      </c>
      <c r="J2614" s="4"/>
      <c r="K2614" s="4"/>
      <c r="L2614" s="4"/>
      <c r="M2614" s="4"/>
      <c r="N2614" s="4"/>
      <c r="O2614" s="4"/>
      <c r="P2614" s="4"/>
    </row>
    <row r="2615" spans="1:16" x14ac:dyDescent="0.25">
      <c r="A2615" s="4" t="s">
        <v>242</v>
      </c>
      <c r="B2615" s="3">
        <v>0.33402777777777781</v>
      </c>
      <c r="C2615" s="3">
        <v>0.55138888888888882</v>
      </c>
      <c r="D2615" s="3">
        <v>0.59305555555555556</v>
      </c>
      <c r="E2615" s="3">
        <v>0.75416666666666676</v>
      </c>
      <c r="F2615" s="4"/>
      <c r="G2615" s="4"/>
      <c r="H2615" s="3">
        <v>0.375</v>
      </c>
      <c r="I2615" s="3">
        <v>0.375</v>
      </c>
      <c r="J2615" s="4"/>
      <c r="K2615" s="4"/>
      <c r="L2615" s="4"/>
      <c r="M2615" s="4"/>
      <c r="N2615" s="4"/>
      <c r="O2615" s="4"/>
      <c r="P2615" s="4"/>
    </row>
    <row r="2616" spans="1:16" x14ac:dyDescent="0.25">
      <c r="A2616" s="4" t="s">
        <v>243</v>
      </c>
      <c r="B2616" s="3">
        <v>0.33333333333333331</v>
      </c>
      <c r="C2616" s="3">
        <v>0.55277777777777781</v>
      </c>
      <c r="D2616" s="3">
        <v>0.59305555555555556</v>
      </c>
      <c r="E2616" s="3">
        <v>0.7631944444444444</v>
      </c>
      <c r="F2616" s="4"/>
      <c r="G2616" s="4"/>
      <c r="H2616" s="3">
        <v>0.375</v>
      </c>
      <c r="I2616" s="3">
        <v>0.375</v>
      </c>
      <c r="J2616" s="4"/>
      <c r="K2616" s="4"/>
      <c r="L2616" s="4"/>
      <c r="M2616" s="4"/>
      <c r="N2616" s="4"/>
      <c r="O2616" s="4"/>
      <c r="P2616" s="3">
        <v>1.4583333333333332E-2</v>
      </c>
    </row>
    <row r="2617" spans="1:16" x14ac:dyDescent="0.25">
      <c r="A2617" s="4" t="s">
        <v>244</v>
      </c>
      <c r="B2617" s="4" t="s">
        <v>265</v>
      </c>
      <c r="C2617" s="4" t="s">
        <v>265</v>
      </c>
      <c r="D2617" s="4" t="s">
        <v>265</v>
      </c>
      <c r="E2617" s="4" t="s">
        <v>265</v>
      </c>
      <c r="F2617" s="4"/>
      <c r="G2617" s="4"/>
      <c r="H2617" s="4"/>
      <c r="I2617" s="4"/>
      <c r="J2617" s="4"/>
      <c r="K2617" s="4"/>
      <c r="L2617" s="4"/>
      <c r="M2617" s="4"/>
      <c r="N2617" s="4"/>
      <c r="O2617" s="4"/>
      <c r="P2617" s="4"/>
    </row>
    <row r="2618" spans="1:16" x14ac:dyDescent="0.25">
      <c r="A2618" s="4" t="s">
        <v>245</v>
      </c>
      <c r="B2618" s="4" t="s">
        <v>265</v>
      </c>
      <c r="C2618" s="4" t="s">
        <v>265</v>
      </c>
      <c r="D2618" s="4" t="s">
        <v>265</v>
      </c>
      <c r="E2618" s="4" t="s">
        <v>265</v>
      </c>
      <c r="F2618" s="4"/>
      <c r="G2618" s="4"/>
      <c r="H2618" s="3">
        <v>0.375</v>
      </c>
      <c r="I2618" s="3">
        <v>0.375</v>
      </c>
      <c r="J2618" s="3">
        <v>0.375</v>
      </c>
      <c r="K2618" s="4"/>
      <c r="L2618" s="4"/>
      <c r="M2618" s="4"/>
      <c r="N2618" s="4"/>
      <c r="O2618" s="4"/>
      <c r="P2618" s="4"/>
    </row>
    <row r="2619" spans="1:16" x14ac:dyDescent="0.25">
      <c r="A2619" s="4" t="s">
        <v>246</v>
      </c>
      <c r="B2619" s="4" t="s">
        <v>25</v>
      </c>
      <c r="C2619" s="4" t="s">
        <v>25</v>
      </c>
      <c r="D2619" s="4" t="s">
        <v>25</v>
      </c>
      <c r="E2619" s="4" t="s">
        <v>25</v>
      </c>
      <c r="F2619" s="4" t="s">
        <v>25</v>
      </c>
      <c r="G2619" s="4" t="s">
        <v>25</v>
      </c>
      <c r="H2619" s="4"/>
      <c r="I2619" s="4"/>
      <c r="J2619" s="4"/>
      <c r="K2619" s="4"/>
      <c r="L2619" s="4"/>
      <c r="M2619" s="4"/>
      <c r="N2619" s="4"/>
      <c r="O2619" s="4"/>
      <c r="P2619" s="4"/>
    </row>
    <row r="2620" spans="1:16" x14ac:dyDescent="0.25">
      <c r="A2620" s="4" t="s">
        <v>247</v>
      </c>
      <c r="B2620" s="4" t="s">
        <v>25</v>
      </c>
      <c r="C2620" s="4" t="s">
        <v>25</v>
      </c>
      <c r="D2620" s="4" t="s">
        <v>25</v>
      </c>
      <c r="E2620" s="4" t="s">
        <v>25</v>
      </c>
      <c r="F2620" s="4" t="s">
        <v>25</v>
      </c>
      <c r="G2620" s="4" t="s">
        <v>25</v>
      </c>
      <c r="H2620" s="4"/>
      <c r="I2620" s="4"/>
      <c r="J2620" s="4"/>
      <c r="K2620" s="4"/>
      <c r="L2620" s="4"/>
      <c r="M2620" s="4"/>
      <c r="N2620" s="4"/>
      <c r="O2620" s="4"/>
      <c r="P2620" s="4"/>
    </row>
    <row r="2621" spans="1:16" x14ac:dyDescent="0.25">
      <c r="A2621" s="4" t="s">
        <v>248</v>
      </c>
      <c r="B2621" s="3">
        <v>0.3298611111111111</v>
      </c>
      <c r="C2621" s="3">
        <v>0.52569444444444446</v>
      </c>
      <c r="D2621" s="3">
        <v>0.56666666666666665</v>
      </c>
      <c r="E2621" s="3">
        <v>0.71180555555555547</v>
      </c>
      <c r="F2621" s="4"/>
      <c r="G2621" s="4"/>
      <c r="H2621" s="3">
        <v>0.33333333333333331</v>
      </c>
      <c r="I2621" s="3">
        <v>0.33333333333333331</v>
      </c>
      <c r="J2621" s="4"/>
      <c r="K2621" s="4"/>
      <c r="L2621" s="4"/>
      <c r="M2621" s="4"/>
      <c r="N2621" s="4"/>
      <c r="O2621" s="4"/>
      <c r="P2621" s="3">
        <v>7.6388888888888886E-3</v>
      </c>
    </row>
    <row r="2622" spans="1:16" x14ac:dyDescent="0.25">
      <c r="A2622" s="4" t="s">
        <v>249</v>
      </c>
      <c r="B2622" s="3">
        <v>0.33124999999999999</v>
      </c>
      <c r="C2622" s="3">
        <v>0.54583333333333328</v>
      </c>
      <c r="D2622" s="4" t="s">
        <v>52</v>
      </c>
      <c r="E2622" s="4" t="s">
        <v>52</v>
      </c>
      <c r="F2622" s="4"/>
      <c r="G2622" s="4"/>
      <c r="H2622" s="3">
        <v>0.375</v>
      </c>
      <c r="I2622" s="3">
        <v>0.375</v>
      </c>
      <c r="J2622" s="3">
        <v>0.16041666666666668</v>
      </c>
      <c r="K2622" s="4"/>
      <c r="L2622" s="4"/>
      <c r="M2622" s="4"/>
      <c r="N2622" s="4"/>
      <c r="O2622" s="4"/>
      <c r="P2622" s="4"/>
    </row>
    <row r="2623" spans="1:16" x14ac:dyDescent="0.25">
      <c r="A2623" s="4" t="s">
        <v>251</v>
      </c>
      <c r="B2623" s="4" t="s">
        <v>52</v>
      </c>
      <c r="C2623" s="4" t="s">
        <v>52</v>
      </c>
      <c r="D2623" s="4" t="s">
        <v>52</v>
      </c>
      <c r="E2623" s="4" t="s">
        <v>52</v>
      </c>
      <c r="F2623" s="4"/>
      <c r="G2623" s="4"/>
      <c r="H2623" s="3">
        <v>0.375</v>
      </c>
      <c r="I2623" s="3">
        <v>0.375</v>
      </c>
      <c r="J2623" s="3">
        <v>0.375</v>
      </c>
      <c r="K2623" s="4"/>
      <c r="L2623" s="4"/>
      <c r="M2623" s="4"/>
      <c r="N2623" s="4"/>
      <c r="O2623" s="4"/>
      <c r="P2623" s="4"/>
    </row>
    <row r="2624" spans="1:16" x14ac:dyDescent="0.25">
      <c r="A2624" s="4" t="s">
        <v>256</v>
      </c>
      <c r="B2624" s="4" t="s">
        <v>52</v>
      </c>
      <c r="C2624" s="4" t="s">
        <v>52</v>
      </c>
      <c r="D2624" s="4" t="s">
        <v>52</v>
      </c>
      <c r="E2624" s="4" t="s">
        <v>52</v>
      </c>
      <c r="F2624" s="4"/>
      <c r="G2624" s="4"/>
      <c r="H2624" s="3">
        <v>0.375</v>
      </c>
      <c r="I2624" s="3">
        <v>0.375</v>
      </c>
      <c r="J2624" s="3">
        <v>0.375</v>
      </c>
      <c r="K2624" s="4"/>
      <c r="L2624" s="4"/>
      <c r="M2624" s="4"/>
      <c r="N2624" s="4"/>
      <c r="O2624" s="4"/>
      <c r="P2624" s="4"/>
    </row>
    <row r="2625" spans="1:16" x14ac:dyDescent="0.25">
      <c r="A2625" s="4" t="s">
        <v>259</v>
      </c>
      <c r="B2625" s="4" t="s">
        <v>52</v>
      </c>
      <c r="C2625" s="4" t="s">
        <v>52</v>
      </c>
      <c r="D2625" s="3">
        <v>0.58750000000000002</v>
      </c>
      <c r="E2625" s="3">
        <v>0.75416666666666676</v>
      </c>
      <c r="F2625" s="4"/>
      <c r="G2625" s="4"/>
      <c r="H2625" s="3">
        <v>0.375</v>
      </c>
      <c r="I2625" s="3">
        <v>0.375</v>
      </c>
      <c r="J2625" s="3">
        <v>0.20833333333333334</v>
      </c>
      <c r="K2625" s="4"/>
      <c r="L2625" s="4"/>
      <c r="M2625" s="4"/>
      <c r="N2625" s="4"/>
      <c r="O2625" s="4"/>
      <c r="P2625" s="4"/>
    </row>
    <row r="2626" spans="1:16" x14ac:dyDescent="0.25">
      <c r="A2626" s="4" t="s">
        <v>260</v>
      </c>
      <c r="B2626" s="4" t="s">
        <v>25</v>
      </c>
      <c r="C2626" s="4" t="s">
        <v>25</v>
      </c>
      <c r="D2626" s="4" t="s">
        <v>25</v>
      </c>
      <c r="E2626" s="4" t="s">
        <v>25</v>
      </c>
      <c r="F2626" s="4" t="s">
        <v>25</v>
      </c>
      <c r="G2626" s="4" t="s">
        <v>25</v>
      </c>
      <c r="H2626" s="4"/>
      <c r="I2626" s="4"/>
      <c r="J2626" s="4"/>
      <c r="K2626" s="4"/>
      <c r="L2626" s="4"/>
      <c r="M2626" s="4"/>
      <c r="N2626" s="4"/>
      <c r="O2626" s="4"/>
      <c r="P2626" s="4"/>
    </row>
    <row r="2627" spans="1:16" x14ac:dyDescent="0.25">
      <c r="A2627" s="4" t="s">
        <v>261</v>
      </c>
      <c r="B2627" s="4" t="s">
        <v>25</v>
      </c>
      <c r="C2627" s="4" t="s">
        <v>25</v>
      </c>
      <c r="D2627" s="4" t="s">
        <v>25</v>
      </c>
      <c r="E2627" s="4" t="s">
        <v>25</v>
      </c>
      <c r="F2627" s="4" t="s">
        <v>25</v>
      </c>
      <c r="G2627" s="4" t="s">
        <v>25</v>
      </c>
      <c r="H2627" s="4"/>
      <c r="I2627" s="4"/>
      <c r="J2627" s="4"/>
      <c r="K2627" s="4"/>
      <c r="L2627" s="4"/>
      <c r="M2627" s="4"/>
      <c r="N2627" s="4"/>
      <c r="O2627" s="4"/>
      <c r="P2627" s="4"/>
    </row>
    <row r="2628" spans="1:16" x14ac:dyDescent="0.25">
      <c r="A2628" s="4" t="s">
        <v>262</v>
      </c>
      <c r="B2628" s="3">
        <v>0.33333333333333331</v>
      </c>
      <c r="C2628" s="3">
        <v>0.55138888888888882</v>
      </c>
      <c r="D2628" s="3">
        <v>0.59305555555555556</v>
      </c>
      <c r="E2628" s="3">
        <v>0.70972222222222225</v>
      </c>
      <c r="F2628" s="4"/>
      <c r="G2628" s="4"/>
      <c r="H2628" s="3">
        <v>0.33333333333333331</v>
      </c>
      <c r="I2628" s="3">
        <v>0.33333333333333331</v>
      </c>
      <c r="J2628" s="4"/>
      <c r="K2628" s="4"/>
      <c r="L2628" s="4"/>
      <c r="M2628" s="4"/>
      <c r="N2628" s="4"/>
      <c r="O2628" s="4"/>
      <c r="P2628" s="4"/>
    </row>
    <row r="2629" spans="1:16" x14ac:dyDescent="0.25">
      <c r="A2629" s="4" t="s">
        <v>263</v>
      </c>
      <c r="B2629" s="3">
        <v>0.33402777777777781</v>
      </c>
      <c r="C2629" s="3">
        <v>0.50555555555555554</v>
      </c>
      <c r="D2629" s="3">
        <v>0.54375000000000007</v>
      </c>
      <c r="E2629" s="3">
        <v>0.75208333333333333</v>
      </c>
      <c r="F2629" s="4"/>
      <c r="G2629" s="4"/>
      <c r="H2629" s="3">
        <v>0.375</v>
      </c>
      <c r="I2629" s="3">
        <v>0.375</v>
      </c>
      <c r="J2629" s="4"/>
      <c r="K2629" s="4"/>
      <c r="L2629" s="4"/>
      <c r="M2629" s="4"/>
      <c r="N2629" s="4"/>
      <c r="O2629" s="4"/>
      <c r="P2629" s="3">
        <v>6.9444444444444441E-3</v>
      </c>
    </row>
    <row r="2630" spans="1:16" x14ac:dyDescent="0.25">
      <c r="A2630" s="4" t="s">
        <v>264</v>
      </c>
      <c r="B2630" s="3">
        <v>0.33333333333333331</v>
      </c>
      <c r="C2630" s="3">
        <v>0.50624999999999998</v>
      </c>
      <c r="D2630" s="3">
        <v>0.54861111111111105</v>
      </c>
      <c r="E2630" s="3">
        <v>0.75208333333333333</v>
      </c>
      <c r="F2630" s="4"/>
      <c r="G2630" s="4"/>
      <c r="H2630" s="3">
        <v>0.375</v>
      </c>
      <c r="I2630" s="3">
        <v>0.375</v>
      </c>
      <c r="J2630" s="4"/>
      <c r="K2630" s="4"/>
      <c r="L2630" s="4"/>
      <c r="M2630" s="4"/>
      <c r="N2630" s="4"/>
      <c r="O2630" s="4"/>
      <c r="P2630" s="4"/>
    </row>
    <row r="2632" spans="1:16" x14ac:dyDescent="0.25">
      <c r="A2632" s="7" t="s">
        <v>45</v>
      </c>
    </row>
    <row r="2635" spans="1:16" x14ac:dyDescent="0.25">
      <c r="A2635" s="7" t="s">
        <v>46</v>
      </c>
    </row>
    <row r="2636" spans="1:16" x14ac:dyDescent="0.25">
      <c r="A2636" s="7" t="s">
        <v>133</v>
      </c>
      <c r="F2636" s="7" t="s">
        <v>47</v>
      </c>
    </row>
    <row r="2637" spans="1:16" x14ac:dyDescent="0.25">
      <c r="F2637" s="7"/>
    </row>
    <row r="2641" spans="1:16" x14ac:dyDescent="0.25">
      <c r="G2641" s="1" t="s">
        <v>18</v>
      </c>
    </row>
    <row r="2642" spans="1:16" x14ac:dyDescent="0.25">
      <c r="A2642" s="1" t="s">
        <v>1</v>
      </c>
      <c r="B2642" t="s">
        <v>2</v>
      </c>
      <c r="H2642" s="1" t="s">
        <v>19</v>
      </c>
      <c r="I2642" s="1" t="s">
        <v>20</v>
      </c>
      <c r="J2642" s="1" t="s">
        <v>21</v>
      </c>
      <c r="K2642" s="1" t="s">
        <v>22</v>
      </c>
      <c r="L2642" s="1" t="s">
        <v>23</v>
      </c>
      <c r="M2642" s="1" t="s">
        <v>24</v>
      </c>
    </row>
    <row r="2643" spans="1:16" x14ac:dyDescent="0.25">
      <c r="A2643" s="1" t="s">
        <v>3</v>
      </c>
      <c r="B2643" t="s">
        <v>4</v>
      </c>
      <c r="G2643" s="1" t="s">
        <v>220</v>
      </c>
      <c r="H2643" s="3">
        <v>0.33333333333333331</v>
      </c>
      <c r="I2643" s="3">
        <v>0.5</v>
      </c>
      <c r="J2643" s="3">
        <v>0.54166666666666663</v>
      </c>
      <c r="K2643" s="3">
        <v>0.70833333333333337</v>
      </c>
      <c r="L2643" s="4"/>
      <c r="M2643" s="4"/>
    </row>
    <row r="2644" spans="1:16" x14ac:dyDescent="0.25">
      <c r="A2644" s="1" t="s">
        <v>5</v>
      </c>
      <c r="B2644" t="s">
        <v>6</v>
      </c>
      <c r="G2644" s="1" t="s">
        <v>221</v>
      </c>
      <c r="H2644" s="3">
        <v>0.33333333333333331</v>
      </c>
      <c r="I2644" s="3">
        <v>0.5</v>
      </c>
      <c r="J2644" s="3">
        <v>0.54166666666666663</v>
      </c>
      <c r="K2644" s="3">
        <v>0.75</v>
      </c>
      <c r="L2644" s="4"/>
      <c r="M2644" s="4"/>
    </row>
    <row r="2645" spans="1:16" x14ac:dyDescent="0.25">
      <c r="G2645" s="1" t="s">
        <v>222</v>
      </c>
      <c r="H2645" s="3">
        <v>0.33333333333333331</v>
      </c>
      <c r="I2645" s="3">
        <v>0.5</v>
      </c>
      <c r="J2645" s="3">
        <v>0.54166666666666663</v>
      </c>
      <c r="K2645" s="3">
        <v>0.75</v>
      </c>
      <c r="L2645" s="4"/>
      <c r="M2645" s="4"/>
    </row>
    <row r="2646" spans="1:16" x14ac:dyDescent="0.25">
      <c r="A2646" s="1" t="s">
        <v>7</v>
      </c>
      <c r="B2646" t="s">
        <v>135</v>
      </c>
      <c r="G2646" s="1" t="s">
        <v>223</v>
      </c>
      <c r="H2646" s="3">
        <v>0.33333333333333331</v>
      </c>
      <c r="I2646" s="3">
        <v>0.5</v>
      </c>
      <c r="J2646" s="3">
        <v>0.54166666666666663</v>
      </c>
      <c r="K2646" s="3">
        <v>0.75</v>
      </c>
      <c r="L2646" s="4"/>
      <c r="M2646" s="4"/>
    </row>
    <row r="2647" spans="1:16" x14ac:dyDescent="0.25">
      <c r="A2647" s="1" t="s">
        <v>9</v>
      </c>
      <c r="B2647" t="s">
        <v>136</v>
      </c>
      <c r="D2647" s="1" t="s">
        <v>11</v>
      </c>
      <c r="E2647" t="s">
        <v>136</v>
      </c>
      <c r="G2647" s="1" t="s">
        <v>224</v>
      </c>
      <c r="H2647" s="3">
        <v>0.33333333333333331</v>
      </c>
      <c r="I2647" s="3">
        <v>0.5</v>
      </c>
      <c r="J2647" s="3">
        <v>0.54166666666666663</v>
      </c>
      <c r="K2647" s="3">
        <v>0.75</v>
      </c>
      <c r="L2647" s="4"/>
      <c r="M2647" s="4"/>
    </row>
    <row r="2648" spans="1:16" x14ac:dyDescent="0.25">
      <c r="A2648" s="1" t="s">
        <v>12</v>
      </c>
      <c r="D2648" s="1" t="s">
        <v>13</v>
      </c>
      <c r="E2648" s="2">
        <v>42625</v>
      </c>
      <c r="G2648" s="1" t="s">
        <v>225</v>
      </c>
      <c r="H2648" s="4" t="s">
        <v>25</v>
      </c>
      <c r="I2648" s="4" t="s">
        <v>25</v>
      </c>
      <c r="J2648" s="4" t="s">
        <v>25</v>
      </c>
      <c r="K2648" s="4" t="s">
        <v>25</v>
      </c>
      <c r="L2648" s="4" t="s">
        <v>25</v>
      </c>
      <c r="M2648" s="4" t="s">
        <v>25</v>
      </c>
    </row>
    <row r="2649" spans="1:16" x14ac:dyDescent="0.25">
      <c r="A2649" s="1" t="s">
        <v>14</v>
      </c>
      <c r="B2649" t="s">
        <v>126</v>
      </c>
      <c r="G2649" s="1" t="s">
        <v>226</v>
      </c>
      <c r="H2649" s="4" t="s">
        <v>25</v>
      </c>
      <c r="I2649" s="4" t="s">
        <v>25</v>
      </c>
      <c r="J2649" s="4" t="s">
        <v>25</v>
      </c>
      <c r="K2649" s="4" t="s">
        <v>25</v>
      </c>
      <c r="L2649" s="4" t="s">
        <v>25</v>
      </c>
      <c r="M2649" s="4" t="s">
        <v>25</v>
      </c>
    </row>
    <row r="2650" spans="1:16" x14ac:dyDescent="0.25">
      <c r="A2650" s="1" t="s">
        <v>16</v>
      </c>
      <c r="B2650" t="s">
        <v>17</v>
      </c>
    </row>
    <row r="2653" spans="1:16" x14ac:dyDescent="0.25">
      <c r="A2653" s="5" t="s">
        <v>26</v>
      </c>
      <c r="B2653" s="5" t="s">
        <v>27</v>
      </c>
      <c r="C2653" s="5" t="s">
        <v>28</v>
      </c>
      <c r="D2653" s="5" t="s">
        <v>29</v>
      </c>
      <c r="E2653" s="5" t="s">
        <v>30</v>
      </c>
      <c r="F2653" s="5" t="s">
        <v>31</v>
      </c>
      <c r="G2653" s="5" t="s">
        <v>32</v>
      </c>
      <c r="H2653" s="5" t="s">
        <v>33</v>
      </c>
      <c r="I2653" s="5" t="s">
        <v>34</v>
      </c>
      <c r="J2653" s="5" t="s">
        <v>35</v>
      </c>
      <c r="K2653" s="5" t="s">
        <v>36</v>
      </c>
      <c r="L2653" s="5" t="s">
        <v>37</v>
      </c>
      <c r="M2653" s="5" t="s">
        <v>38</v>
      </c>
      <c r="N2653" s="5" t="s">
        <v>39</v>
      </c>
      <c r="O2653" s="5" t="s">
        <v>40</v>
      </c>
      <c r="P2653" s="5" t="s">
        <v>41</v>
      </c>
    </row>
    <row r="2654" spans="1:16" x14ac:dyDescent="0.25">
      <c r="A2654" s="4"/>
      <c r="B2654" s="4"/>
      <c r="C2654" s="4"/>
      <c r="D2654" s="4"/>
      <c r="E2654" s="4"/>
      <c r="F2654" s="4"/>
      <c r="G2654" s="4"/>
      <c r="H2654" s="6">
        <v>8.0416666666666661</v>
      </c>
      <c r="I2654" s="6">
        <v>7.8451388888888891</v>
      </c>
      <c r="J2654" s="6">
        <v>1.3333333333333333</v>
      </c>
      <c r="K2654" s="3">
        <v>0</v>
      </c>
      <c r="L2654" s="3">
        <v>0</v>
      </c>
      <c r="M2654" s="3">
        <v>0</v>
      </c>
      <c r="N2654" s="3">
        <v>6.9444444444444447E-4</v>
      </c>
      <c r="O2654" s="3">
        <v>0.19652777777777777</v>
      </c>
      <c r="P2654" s="3">
        <v>9.7222222222222224E-3</v>
      </c>
    </row>
    <row r="2655" spans="1:16" x14ac:dyDescent="0.25">
      <c r="A2655" s="4" t="s">
        <v>227</v>
      </c>
      <c r="B2655" s="3">
        <v>0.34791666666666665</v>
      </c>
      <c r="C2655" s="3">
        <v>0.51041666666666663</v>
      </c>
      <c r="D2655" s="3">
        <v>0.55347222222222225</v>
      </c>
      <c r="E2655" s="3">
        <v>0.7090277777777777</v>
      </c>
      <c r="F2655" s="4"/>
      <c r="G2655" s="4"/>
      <c r="H2655" s="3">
        <v>0.33333333333333331</v>
      </c>
      <c r="I2655" s="3">
        <v>0.31736111111111115</v>
      </c>
      <c r="J2655" s="4"/>
      <c r="K2655" s="4"/>
      <c r="L2655" s="4"/>
      <c r="M2655" s="4"/>
      <c r="N2655" s="4"/>
      <c r="O2655" s="3">
        <v>1.5972222222222224E-2</v>
      </c>
      <c r="P2655" s="4"/>
    </row>
    <row r="2656" spans="1:16" x14ac:dyDescent="0.25">
      <c r="A2656" s="4" t="s">
        <v>228</v>
      </c>
      <c r="B2656" s="3">
        <v>0.34027777777777773</v>
      </c>
      <c r="C2656" s="3">
        <v>0.51666666666666672</v>
      </c>
      <c r="D2656" s="3">
        <v>0.56388888888888888</v>
      </c>
      <c r="E2656" s="3">
        <v>0.75624999999999998</v>
      </c>
      <c r="F2656" s="4"/>
      <c r="G2656" s="4"/>
      <c r="H2656" s="3">
        <v>0.375</v>
      </c>
      <c r="I2656" s="3">
        <v>0.375</v>
      </c>
      <c r="J2656" s="4"/>
      <c r="K2656" s="4"/>
      <c r="L2656" s="4"/>
      <c r="M2656" s="4"/>
      <c r="N2656" s="4"/>
      <c r="O2656" s="4"/>
      <c r="P2656" s="4"/>
    </row>
    <row r="2657" spans="1:16" x14ac:dyDescent="0.25">
      <c r="A2657" s="4" t="s">
        <v>229</v>
      </c>
      <c r="B2657" s="3">
        <v>0.36527777777777781</v>
      </c>
      <c r="C2657" s="3">
        <v>0.56111111111111112</v>
      </c>
      <c r="D2657" s="3">
        <v>0.60416666666666663</v>
      </c>
      <c r="E2657" s="3">
        <v>0.75694444444444453</v>
      </c>
      <c r="F2657" s="4"/>
      <c r="G2657" s="4"/>
      <c r="H2657" s="3">
        <v>0.375</v>
      </c>
      <c r="I2657" s="3">
        <v>0.34861111111111115</v>
      </c>
      <c r="J2657" s="4"/>
      <c r="K2657" s="4"/>
      <c r="L2657" s="4"/>
      <c r="M2657" s="4"/>
      <c r="N2657" s="4"/>
      <c r="O2657" s="3">
        <v>2.6388888888888889E-2</v>
      </c>
      <c r="P2657" s="4"/>
    </row>
    <row r="2658" spans="1:16" x14ac:dyDescent="0.25">
      <c r="A2658" s="4" t="s">
        <v>230</v>
      </c>
      <c r="B2658" s="3">
        <v>0.35486111111111113</v>
      </c>
      <c r="C2658" s="3">
        <v>0.51250000000000007</v>
      </c>
      <c r="D2658" s="3">
        <v>0.55138888888888882</v>
      </c>
      <c r="E2658" s="3">
        <v>0.75486111111111109</v>
      </c>
      <c r="F2658" s="4"/>
      <c r="G2658" s="4"/>
      <c r="H2658" s="3">
        <v>0.375</v>
      </c>
      <c r="I2658" s="3">
        <v>0.3611111111111111</v>
      </c>
      <c r="J2658" s="4"/>
      <c r="K2658" s="4"/>
      <c r="L2658" s="4"/>
      <c r="M2658" s="4"/>
      <c r="N2658" s="4"/>
      <c r="O2658" s="3">
        <v>1.3888888888888888E-2</v>
      </c>
      <c r="P2658" s="4"/>
    </row>
    <row r="2659" spans="1:16" x14ac:dyDescent="0.25">
      <c r="A2659" s="4" t="s">
        <v>231</v>
      </c>
      <c r="B2659" s="3">
        <v>0.40833333333333338</v>
      </c>
      <c r="C2659" s="3">
        <v>0.51111111111111118</v>
      </c>
      <c r="D2659" s="3">
        <v>0.55555555555555558</v>
      </c>
      <c r="E2659" s="3">
        <v>0.75208333333333333</v>
      </c>
      <c r="F2659" s="4"/>
      <c r="G2659" s="4"/>
      <c r="H2659" s="3">
        <v>0.375</v>
      </c>
      <c r="I2659" s="3">
        <v>0.29722222222222222</v>
      </c>
      <c r="J2659" s="4"/>
      <c r="K2659" s="4"/>
      <c r="L2659" s="4"/>
      <c r="M2659" s="4"/>
      <c r="N2659" s="4"/>
      <c r="O2659" s="3">
        <v>7.7777777777777779E-2</v>
      </c>
      <c r="P2659" s="4"/>
    </row>
    <row r="2660" spans="1:16" x14ac:dyDescent="0.25">
      <c r="A2660" s="4" t="s">
        <v>232</v>
      </c>
      <c r="B2660" s="4" t="s">
        <v>25</v>
      </c>
      <c r="C2660" s="4" t="s">
        <v>25</v>
      </c>
      <c r="D2660" s="4" t="s">
        <v>25</v>
      </c>
      <c r="E2660" s="4" t="s">
        <v>25</v>
      </c>
      <c r="F2660" s="4" t="s">
        <v>25</v>
      </c>
      <c r="G2660" s="4" t="s">
        <v>25</v>
      </c>
      <c r="H2660" s="4"/>
      <c r="I2660" s="4"/>
      <c r="J2660" s="4"/>
      <c r="K2660" s="4"/>
      <c r="L2660" s="4"/>
      <c r="M2660" s="4"/>
      <c r="N2660" s="4"/>
      <c r="O2660" s="4"/>
      <c r="P2660" s="4"/>
    </row>
    <row r="2661" spans="1:16" x14ac:dyDescent="0.25">
      <c r="A2661" s="4" t="s">
        <v>233</v>
      </c>
      <c r="B2661" s="4" t="s">
        <v>25</v>
      </c>
      <c r="C2661" s="4" t="s">
        <v>25</v>
      </c>
      <c r="D2661" s="4" t="s">
        <v>25</v>
      </c>
      <c r="E2661" s="4" t="s">
        <v>25</v>
      </c>
      <c r="F2661" s="4" t="s">
        <v>25</v>
      </c>
      <c r="G2661" s="4" t="s">
        <v>25</v>
      </c>
      <c r="H2661" s="4"/>
      <c r="I2661" s="4"/>
      <c r="J2661" s="4"/>
      <c r="K2661" s="4"/>
      <c r="L2661" s="4"/>
      <c r="M2661" s="4"/>
      <c r="N2661" s="4"/>
      <c r="O2661" s="4"/>
      <c r="P2661" s="4"/>
    </row>
    <row r="2662" spans="1:16" x14ac:dyDescent="0.25">
      <c r="A2662" s="4" t="s">
        <v>234</v>
      </c>
      <c r="B2662" s="3">
        <v>0.35972222222222222</v>
      </c>
      <c r="C2662" s="3">
        <v>0.47916666666666669</v>
      </c>
      <c r="D2662" s="3">
        <v>0.55694444444444446</v>
      </c>
      <c r="E2662" s="3">
        <v>0.70972222222222225</v>
      </c>
      <c r="F2662" s="4"/>
      <c r="G2662" s="4"/>
      <c r="H2662" s="3">
        <v>0.33333333333333331</v>
      </c>
      <c r="I2662" s="3">
        <v>0.27083333333333331</v>
      </c>
      <c r="J2662" s="4"/>
      <c r="K2662" s="4"/>
      <c r="L2662" s="4"/>
      <c r="M2662" s="4"/>
      <c r="N2662" s="4"/>
      <c r="O2662" s="3">
        <v>6.25E-2</v>
      </c>
      <c r="P2662" s="4"/>
    </row>
    <row r="2663" spans="1:16" x14ac:dyDescent="0.25">
      <c r="A2663" s="4" t="s">
        <v>235</v>
      </c>
      <c r="B2663" s="3">
        <v>0.34375</v>
      </c>
      <c r="C2663" s="3">
        <v>0.5229166666666667</v>
      </c>
      <c r="D2663" s="3">
        <v>0.5625</v>
      </c>
      <c r="E2663" s="3">
        <v>0.75416666666666676</v>
      </c>
      <c r="F2663" s="4"/>
      <c r="G2663" s="4"/>
      <c r="H2663" s="3">
        <v>0.375</v>
      </c>
      <c r="I2663" s="3">
        <v>0.375</v>
      </c>
      <c r="J2663" s="4"/>
      <c r="K2663" s="4"/>
      <c r="L2663" s="4"/>
      <c r="M2663" s="4"/>
      <c r="N2663" s="4"/>
      <c r="O2663" s="4"/>
      <c r="P2663" s="4"/>
    </row>
    <row r="2664" spans="1:16" x14ac:dyDescent="0.25">
      <c r="A2664" s="4" t="s">
        <v>236</v>
      </c>
      <c r="B2664" s="3">
        <v>0.3347222222222222</v>
      </c>
      <c r="C2664" s="3">
        <v>0.49722222222222223</v>
      </c>
      <c r="D2664" s="3">
        <v>0.54236111111111118</v>
      </c>
      <c r="E2664" s="3">
        <v>0.75069444444444444</v>
      </c>
      <c r="F2664" s="4"/>
      <c r="G2664" s="4"/>
      <c r="H2664" s="3">
        <v>0.375</v>
      </c>
      <c r="I2664" s="3">
        <v>0.375</v>
      </c>
      <c r="J2664" s="4"/>
      <c r="K2664" s="4"/>
      <c r="L2664" s="4"/>
      <c r="M2664" s="4"/>
      <c r="N2664" s="4"/>
      <c r="O2664" s="4"/>
      <c r="P2664" s="4"/>
    </row>
    <row r="2665" spans="1:16" x14ac:dyDescent="0.25">
      <c r="A2665" s="4" t="s">
        <v>237</v>
      </c>
      <c r="B2665" s="3">
        <v>0.33333333333333331</v>
      </c>
      <c r="C2665" s="3">
        <v>0.53680555555555554</v>
      </c>
      <c r="D2665" s="3">
        <v>0.57847222222222217</v>
      </c>
      <c r="E2665" s="3">
        <v>0.75069444444444444</v>
      </c>
      <c r="F2665" s="4"/>
      <c r="G2665" s="4"/>
      <c r="H2665" s="3">
        <v>0.375</v>
      </c>
      <c r="I2665" s="3">
        <v>0.375</v>
      </c>
      <c r="J2665" s="4"/>
      <c r="K2665" s="4"/>
      <c r="L2665" s="4"/>
      <c r="M2665" s="4"/>
      <c r="N2665" s="4"/>
      <c r="O2665" s="4"/>
      <c r="P2665" s="4"/>
    </row>
    <row r="2666" spans="1:16" x14ac:dyDescent="0.25">
      <c r="A2666" s="4" t="s">
        <v>238</v>
      </c>
      <c r="B2666" s="3">
        <v>0.33749999999999997</v>
      </c>
      <c r="C2666" s="4" t="s">
        <v>299</v>
      </c>
      <c r="D2666" s="3">
        <v>0.6069444444444444</v>
      </c>
      <c r="E2666" s="3">
        <v>0.75138888888888899</v>
      </c>
      <c r="F2666" s="4"/>
      <c r="G2666" s="4"/>
      <c r="H2666" s="3">
        <v>0.375</v>
      </c>
      <c r="I2666" s="3">
        <v>0.375</v>
      </c>
      <c r="J2666" s="4"/>
      <c r="K2666" s="4"/>
      <c r="L2666" s="4"/>
      <c r="M2666" s="4"/>
      <c r="N2666" s="4"/>
      <c r="O2666" s="4"/>
      <c r="P2666" s="4"/>
    </row>
    <row r="2667" spans="1:16" x14ac:dyDescent="0.25">
      <c r="A2667" s="4" t="s">
        <v>239</v>
      </c>
      <c r="B2667" s="4" t="s">
        <v>25</v>
      </c>
      <c r="C2667" s="4" t="s">
        <v>25</v>
      </c>
      <c r="D2667" s="4" t="s">
        <v>25</v>
      </c>
      <c r="E2667" s="4" t="s">
        <v>25</v>
      </c>
      <c r="F2667" s="4" t="s">
        <v>25</v>
      </c>
      <c r="G2667" s="4" t="s">
        <v>25</v>
      </c>
      <c r="H2667" s="4"/>
      <c r="I2667" s="4"/>
      <c r="J2667" s="4"/>
      <c r="K2667" s="4"/>
      <c r="L2667" s="4"/>
      <c r="M2667" s="4"/>
      <c r="N2667" s="4"/>
      <c r="O2667" s="4"/>
      <c r="P2667" s="4"/>
    </row>
    <row r="2668" spans="1:16" x14ac:dyDescent="0.25">
      <c r="A2668" s="4" t="s">
        <v>240</v>
      </c>
      <c r="B2668" s="4" t="s">
        <v>25</v>
      </c>
      <c r="C2668" s="4" t="s">
        <v>25</v>
      </c>
      <c r="D2668" s="4" t="s">
        <v>25</v>
      </c>
      <c r="E2668" s="4" t="s">
        <v>25</v>
      </c>
      <c r="F2668" s="4" t="s">
        <v>25</v>
      </c>
      <c r="G2668" s="4" t="s">
        <v>25</v>
      </c>
      <c r="H2668" s="4"/>
      <c r="I2668" s="4"/>
      <c r="J2668" s="4"/>
      <c r="K2668" s="4"/>
      <c r="L2668" s="4"/>
      <c r="M2668" s="4"/>
      <c r="N2668" s="4"/>
      <c r="O2668" s="4"/>
      <c r="P2668" s="4"/>
    </row>
    <row r="2669" spans="1:16" x14ac:dyDescent="0.25">
      <c r="A2669" s="4" t="s">
        <v>241</v>
      </c>
      <c r="B2669" s="3">
        <v>0.34375</v>
      </c>
      <c r="C2669" s="3">
        <v>0.49722222222222223</v>
      </c>
      <c r="D2669" s="3">
        <v>0.53749999999999998</v>
      </c>
      <c r="E2669" s="3">
        <v>0.7090277777777777</v>
      </c>
      <c r="F2669" s="4"/>
      <c r="G2669" s="4"/>
      <c r="H2669" s="3">
        <v>0.33333333333333331</v>
      </c>
      <c r="I2669" s="3">
        <v>0.33333333333333331</v>
      </c>
      <c r="J2669" s="4"/>
      <c r="K2669" s="4"/>
      <c r="L2669" s="4"/>
      <c r="M2669" s="4"/>
      <c r="N2669" s="4"/>
      <c r="O2669" s="4"/>
      <c r="P2669" s="4"/>
    </row>
    <row r="2670" spans="1:16" x14ac:dyDescent="0.25">
      <c r="A2670" s="4" t="s">
        <v>242</v>
      </c>
      <c r="B2670" s="3">
        <v>0.33194444444444443</v>
      </c>
      <c r="C2670" s="3">
        <v>0.52083333333333337</v>
      </c>
      <c r="D2670" s="3">
        <v>0.56388888888888888</v>
      </c>
      <c r="E2670" s="3">
        <v>0.75</v>
      </c>
      <c r="F2670" s="4"/>
      <c r="G2670" s="4"/>
      <c r="H2670" s="3">
        <v>0.375</v>
      </c>
      <c r="I2670" s="3">
        <v>0.375</v>
      </c>
      <c r="J2670" s="4"/>
      <c r="K2670" s="4"/>
      <c r="L2670" s="4"/>
      <c r="M2670" s="4"/>
      <c r="N2670" s="4"/>
      <c r="O2670" s="4"/>
      <c r="P2670" s="4"/>
    </row>
    <row r="2671" spans="1:16" x14ac:dyDescent="0.25">
      <c r="A2671" s="4" t="s">
        <v>243</v>
      </c>
      <c r="B2671" s="3">
        <v>0.33333333333333331</v>
      </c>
      <c r="C2671" s="3">
        <v>0.52083333333333337</v>
      </c>
      <c r="D2671" s="3">
        <v>0.56111111111111112</v>
      </c>
      <c r="E2671" s="3">
        <v>0.7583333333333333</v>
      </c>
      <c r="F2671" s="4"/>
      <c r="G2671" s="4"/>
      <c r="H2671" s="3">
        <v>0.375</v>
      </c>
      <c r="I2671" s="3">
        <v>0.375</v>
      </c>
      <c r="J2671" s="4"/>
      <c r="K2671" s="4"/>
      <c r="L2671" s="4"/>
      <c r="M2671" s="4"/>
      <c r="N2671" s="4"/>
      <c r="O2671" s="4"/>
      <c r="P2671" s="3">
        <v>9.7222222222222224E-3</v>
      </c>
    </row>
    <row r="2672" spans="1:16" x14ac:dyDescent="0.25">
      <c r="A2672" s="4" t="s">
        <v>244</v>
      </c>
      <c r="B2672" s="4" t="s">
        <v>265</v>
      </c>
      <c r="C2672" s="4" t="s">
        <v>265</v>
      </c>
      <c r="D2672" s="4" t="s">
        <v>265</v>
      </c>
      <c r="E2672" s="4" t="s">
        <v>265</v>
      </c>
      <c r="F2672" s="4"/>
      <c r="G2672" s="4"/>
      <c r="H2672" s="4"/>
      <c r="I2672" s="4"/>
      <c r="J2672" s="4"/>
      <c r="K2672" s="4"/>
      <c r="L2672" s="4"/>
      <c r="M2672" s="4"/>
      <c r="N2672" s="4"/>
      <c r="O2672" s="4"/>
      <c r="P2672" s="4"/>
    </row>
    <row r="2673" spans="1:16" x14ac:dyDescent="0.25">
      <c r="A2673" s="4" t="s">
        <v>245</v>
      </c>
      <c r="B2673" s="3">
        <v>0.49791666666666662</v>
      </c>
      <c r="C2673" s="3">
        <v>0.83333333333333337</v>
      </c>
      <c r="D2673" s="3">
        <v>0.87361111111111101</v>
      </c>
      <c r="E2673" s="3">
        <v>0.91736111111111107</v>
      </c>
      <c r="F2673" s="4"/>
      <c r="G2673" s="4"/>
      <c r="H2673" s="3">
        <v>0.375</v>
      </c>
      <c r="I2673" s="3">
        <v>0.375</v>
      </c>
      <c r="J2673" s="4"/>
      <c r="K2673" s="4"/>
      <c r="L2673" s="4"/>
      <c r="M2673" s="4"/>
      <c r="N2673" s="3">
        <v>6.9444444444444447E-4</v>
      </c>
      <c r="O2673" s="4"/>
      <c r="P2673" s="4"/>
    </row>
    <row r="2674" spans="1:16" x14ac:dyDescent="0.25">
      <c r="A2674" s="4" t="s">
        <v>246</v>
      </c>
      <c r="B2674" s="4" t="s">
        <v>25</v>
      </c>
      <c r="C2674" s="4" t="s">
        <v>25</v>
      </c>
      <c r="D2674" s="4" t="s">
        <v>25</v>
      </c>
      <c r="E2674" s="4" t="s">
        <v>25</v>
      </c>
      <c r="F2674" s="4" t="s">
        <v>25</v>
      </c>
      <c r="G2674" s="4" t="s">
        <v>25</v>
      </c>
      <c r="H2674" s="4"/>
      <c r="I2674" s="4"/>
      <c r="J2674" s="4"/>
      <c r="K2674" s="4"/>
      <c r="L2674" s="4"/>
      <c r="M2674" s="4"/>
      <c r="N2674" s="4"/>
      <c r="O2674" s="4"/>
      <c r="P2674" s="4"/>
    </row>
    <row r="2675" spans="1:16" x14ac:dyDescent="0.25">
      <c r="A2675" s="4" t="s">
        <v>247</v>
      </c>
      <c r="B2675" s="4" t="s">
        <v>25</v>
      </c>
      <c r="C2675" s="4" t="s">
        <v>25</v>
      </c>
      <c r="D2675" s="4" t="s">
        <v>25</v>
      </c>
      <c r="E2675" s="4" t="s">
        <v>25</v>
      </c>
      <c r="F2675" s="4" t="s">
        <v>25</v>
      </c>
      <c r="G2675" s="4" t="s">
        <v>25</v>
      </c>
      <c r="H2675" s="4"/>
      <c r="I2675" s="4"/>
      <c r="J2675" s="4"/>
      <c r="K2675" s="4"/>
      <c r="L2675" s="4"/>
      <c r="M2675" s="4"/>
      <c r="N2675" s="4"/>
      <c r="O2675" s="4"/>
      <c r="P2675" s="4"/>
    </row>
    <row r="2676" spans="1:16" x14ac:dyDescent="0.25">
      <c r="A2676" s="4" t="s">
        <v>248</v>
      </c>
      <c r="B2676" s="3">
        <v>0.33055555555555555</v>
      </c>
      <c r="C2676" s="3">
        <v>0.49791666666666662</v>
      </c>
      <c r="D2676" s="3">
        <v>0.5444444444444444</v>
      </c>
      <c r="E2676" s="3">
        <v>0.70972222222222225</v>
      </c>
      <c r="F2676" s="4"/>
      <c r="G2676" s="4"/>
      <c r="H2676" s="3">
        <v>0.33333333333333331</v>
      </c>
      <c r="I2676" s="3">
        <v>0.33333333333333331</v>
      </c>
      <c r="J2676" s="4"/>
      <c r="K2676" s="4"/>
      <c r="L2676" s="4"/>
      <c r="M2676" s="4"/>
      <c r="N2676" s="4"/>
      <c r="O2676" s="4"/>
      <c r="P2676" s="4"/>
    </row>
    <row r="2677" spans="1:16" x14ac:dyDescent="0.25">
      <c r="A2677" s="4" t="s">
        <v>249</v>
      </c>
      <c r="B2677" s="3">
        <v>0.33611111111111108</v>
      </c>
      <c r="C2677" s="3">
        <v>0.50069444444444444</v>
      </c>
      <c r="D2677" s="4" t="s">
        <v>52</v>
      </c>
      <c r="E2677" s="4" t="s">
        <v>52</v>
      </c>
      <c r="F2677" s="4"/>
      <c r="G2677" s="4"/>
      <c r="H2677" s="3">
        <v>0.375</v>
      </c>
      <c r="I2677" s="3">
        <v>0.375</v>
      </c>
      <c r="J2677" s="3">
        <v>0.20833333333333334</v>
      </c>
      <c r="K2677" s="4"/>
      <c r="L2677" s="4"/>
      <c r="M2677" s="4"/>
      <c r="N2677" s="4"/>
      <c r="O2677" s="4"/>
      <c r="P2677" s="4"/>
    </row>
    <row r="2678" spans="1:16" x14ac:dyDescent="0.25">
      <c r="A2678" s="4" t="s">
        <v>251</v>
      </c>
      <c r="B2678" s="4" t="s">
        <v>52</v>
      </c>
      <c r="C2678" s="4" t="s">
        <v>52</v>
      </c>
      <c r="D2678" s="4" t="s">
        <v>52</v>
      </c>
      <c r="E2678" s="4" t="s">
        <v>52</v>
      </c>
      <c r="F2678" s="4"/>
      <c r="G2678" s="4"/>
      <c r="H2678" s="3">
        <v>0.375</v>
      </c>
      <c r="I2678" s="3">
        <v>0.375</v>
      </c>
      <c r="J2678" s="3">
        <v>0.375</v>
      </c>
      <c r="K2678" s="4"/>
      <c r="L2678" s="4"/>
      <c r="M2678" s="4"/>
      <c r="N2678" s="4"/>
      <c r="O2678" s="4"/>
      <c r="P2678" s="4"/>
    </row>
    <row r="2679" spans="1:16" x14ac:dyDescent="0.25">
      <c r="A2679" s="4" t="s">
        <v>256</v>
      </c>
      <c r="B2679" s="4" t="s">
        <v>52</v>
      </c>
      <c r="C2679" s="4" t="s">
        <v>52</v>
      </c>
      <c r="D2679" s="4" t="s">
        <v>52</v>
      </c>
      <c r="E2679" s="4" t="s">
        <v>52</v>
      </c>
      <c r="F2679" s="4"/>
      <c r="G2679" s="4"/>
      <c r="H2679" s="3">
        <v>0.375</v>
      </c>
      <c r="I2679" s="3">
        <v>0.375</v>
      </c>
      <c r="J2679" s="3">
        <v>0.375</v>
      </c>
      <c r="K2679" s="4"/>
      <c r="L2679" s="4"/>
      <c r="M2679" s="4"/>
      <c r="N2679" s="4"/>
      <c r="O2679" s="4"/>
      <c r="P2679" s="4"/>
    </row>
    <row r="2680" spans="1:16" x14ac:dyDescent="0.25">
      <c r="A2680" s="4" t="s">
        <v>259</v>
      </c>
      <c r="B2680" s="4" t="s">
        <v>52</v>
      </c>
      <c r="C2680" s="4" t="s">
        <v>52</v>
      </c>
      <c r="D2680" s="4" t="s">
        <v>52</v>
      </c>
      <c r="E2680" s="4" t="s">
        <v>52</v>
      </c>
      <c r="F2680" s="4"/>
      <c r="G2680" s="4"/>
      <c r="H2680" s="3">
        <v>0.375</v>
      </c>
      <c r="I2680" s="3">
        <v>0.375</v>
      </c>
      <c r="J2680" s="3">
        <v>0.375</v>
      </c>
      <c r="K2680" s="4"/>
      <c r="L2680" s="4"/>
      <c r="M2680" s="4"/>
      <c r="N2680" s="4"/>
      <c r="O2680" s="4"/>
      <c r="P2680" s="4"/>
    </row>
    <row r="2681" spans="1:16" x14ac:dyDescent="0.25">
      <c r="A2681" s="4" t="s">
        <v>260</v>
      </c>
      <c r="B2681" s="4" t="s">
        <v>25</v>
      </c>
      <c r="C2681" s="4" t="s">
        <v>25</v>
      </c>
      <c r="D2681" s="4" t="s">
        <v>25</v>
      </c>
      <c r="E2681" s="4" t="s">
        <v>25</v>
      </c>
      <c r="F2681" s="4" t="s">
        <v>25</v>
      </c>
      <c r="G2681" s="4" t="s">
        <v>25</v>
      </c>
      <c r="H2681" s="4"/>
      <c r="I2681" s="4"/>
      <c r="J2681" s="4"/>
      <c r="K2681" s="4"/>
      <c r="L2681" s="4"/>
      <c r="M2681" s="4"/>
      <c r="N2681" s="4"/>
      <c r="O2681" s="4"/>
      <c r="P2681" s="4"/>
    </row>
    <row r="2682" spans="1:16" x14ac:dyDescent="0.25">
      <c r="A2682" s="4" t="s">
        <v>261</v>
      </c>
      <c r="B2682" s="4" t="s">
        <v>25</v>
      </c>
      <c r="C2682" s="4" t="s">
        <v>25</v>
      </c>
      <c r="D2682" s="4" t="s">
        <v>25</v>
      </c>
      <c r="E2682" s="4" t="s">
        <v>25</v>
      </c>
      <c r="F2682" s="4" t="s">
        <v>25</v>
      </c>
      <c r="G2682" s="4" t="s">
        <v>25</v>
      </c>
      <c r="H2682" s="4"/>
      <c r="I2682" s="4"/>
      <c r="J2682" s="4"/>
      <c r="K2682" s="4"/>
      <c r="L2682" s="4"/>
      <c r="M2682" s="4"/>
      <c r="N2682" s="4"/>
      <c r="O2682" s="4"/>
      <c r="P2682" s="4"/>
    </row>
    <row r="2683" spans="1:16" x14ac:dyDescent="0.25">
      <c r="A2683" s="4" t="s">
        <v>262</v>
      </c>
      <c r="B2683" s="3">
        <v>0.36319444444444443</v>
      </c>
      <c r="C2683" s="3">
        <v>0.50069444444444444</v>
      </c>
      <c r="D2683" s="3">
        <v>0.54236111111111118</v>
      </c>
      <c r="E2683" s="3">
        <v>0.73888888888888893</v>
      </c>
      <c r="F2683" s="4"/>
      <c r="G2683" s="4"/>
      <c r="H2683" s="3">
        <v>0.33333333333333331</v>
      </c>
      <c r="I2683" s="3">
        <v>0.33333333333333331</v>
      </c>
      <c r="J2683" s="4"/>
      <c r="K2683" s="4"/>
      <c r="L2683" s="4"/>
      <c r="M2683" s="4"/>
      <c r="N2683" s="4"/>
      <c r="O2683" s="4"/>
      <c r="P2683" s="4"/>
    </row>
    <row r="2684" spans="1:16" x14ac:dyDescent="0.25">
      <c r="A2684" s="4" t="s">
        <v>263</v>
      </c>
      <c r="B2684" s="3">
        <v>0.33402777777777781</v>
      </c>
      <c r="C2684" s="3">
        <v>0.55833333333333335</v>
      </c>
      <c r="D2684" s="3">
        <v>0.60347222222222219</v>
      </c>
      <c r="E2684" s="3">
        <v>0.75069444444444444</v>
      </c>
      <c r="F2684" s="4"/>
      <c r="G2684" s="4"/>
      <c r="H2684" s="3">
        <v>0.375</v>
      </c>
      <c r="I2684" s="3">
        <v>0.375</v>
      </c>
      <c r="J2684" s="4"/>
      <c r="K2684" s="4"/>
      <c r="L2684" s="4"/>
      <c r="M2684" s="4"/>
      <c r="N2684" s="4"/>
      <c r="O2684" s="4"/>
      <c r="P2684" s="4"/>
    </row>
    <row r="2685" spans="1:16" x14ac:dyDescent="0.25">
      <c r="A2685" s="4" t="s">
        <v>264</v>
      </c>
      <c r="B2685" s="3">
        <v>0.33333333333333331</v>
      </c>
      <c r="C2685" s="4" t="s">
        <v>303</v>
      </c>
      <c r="D2685" s="3">
        <v>0.6166666666666667</v>
      </c>
      <c r="E2685" s="3">
        <v>0.74930555555555556</v>
      </c>
      <c r="F2685" s="4"/>
      <c r="G2685" s="4"/>
      <c r="H2685" s="3">
        <v>0.375</v>
      </c>
      <c r="I2685" s="3">
        <v>0.375</v>
      </c>
      <c r="J2685" s="4"/>
      <c r="K2685" s="4"/>
      <c r="L2685" s="4"/>
      <c r="M2685" s="4"/>
      <c r="N2685" s="4"/>
      <c r="O2685" s="4"/>
      <c r="P2685" s="4"/>
    </row>
    <row r="2687" spans="1:16" x14ac:dyDescent="0.25">
      <c r="A2687" s="7" t="s">
        <v>45</v>
      </c>
    </row>
    <row r="2690" spans="1:13" x14ac:dyDescent="0.25">
      <c r="A2690" s="7" t="s">
        <v>46</v>
      </c>
    </row>
    <row r="2691" spans="1:13" x14ac:dyDescent="0.25">
      <c r="A2691" s="7" t="s">
        <v>135</v>
      </c>
      <c r="F2691" s="7" t="s">
        <v>47</v>
      </c>
    </row>
    <row r="2692" spans="1:13" x14ac:dyDescent="0.25">
      <c r="F2692" s="7"/>
    </row>
    <row r="2696" spans="1:13" x14ac:dyDescent="0.25">
      <c r="G2696" s="1" t="s">
        <v>18</v>
      </c>
    </row>
    <row r="2697" spans="1:13" x14ac:dyDescent="0.25">
      <c r="A2697" s="1" t="s">
        <v>1</v>
      </c>
      <c r="B2697" t="s">
        <v>2</v>
      </c>
      <c r="H2697" s="1" t="s">
        <v>19</v>
      </c>
      <c r="I2697" s="1" t="s">
        <v>20</v>
      </c>
      <c r="J2697" s="1" t="s">
        <v>21</v>
      </c>
      <c r="K2697" s="1" t="s">
        <v>22</v>
      </c>
      <c r="L2697" s="1" t="s">
        <v>23</v>
      </c>
      <c r="M2697" s="1" t="s">
        <v>24</v>
      </c>
    </row>
    <row r="2698" spans="1:13" x14ac:dyDescent="0.25">
      <c r="A2698" s="1" t="s">
        <v>3</v>
      </c>
      <c r="B2698" t="s">
        <v>4</v>
      </c>
      <c r="G2698" s="1" t="s">
        <v>220</v>
      </c>
      <c r="H2698" s="4" t="s">
        <v>25</v>
      </c>
      <c r="I2698" s="4" t="s">
        <v>25</v>
      </c>
      <c r="J2698" s="4" t="s">
        <v>25</v>
      </c>
      <c r="K2698" s="4" t="s">
        <v>25</v>
      </c>
      <c r="L2698" s="4" t="s">
        <v>25</v>
      </c>
      <c r="M2698" s="4" t="s">
        <v>25</v>
      </c>
    </row>
    <row r="2699" spans="1:13" x14ac:dyDescent="0.25">
      <c r="A2699" s="1" t="s">
        <v>5</v>
      </c>
      <c r="B2699" t="s">
        <v>6</v>
      </c>
      <c r="G2699" s="1" t="s">
        <v>221</v>
      </c>
      <c r="H2699" s="3">
        <v>0.5</v>
      </c>
      <c r="I2699" s="3">
        <v>0.70833333333333337</v>
      </c>
      <c r="J2699" s="3">
        <v>0.75</v>
      </c>
      <c r="K2699" s="3">
        <v>0.91666666666666663</v>
      </c>
      <c r="L2699" s="4"/>
      <c r="M2699" s="4"/>
    </row>
    <row r="2700" spans="1:13" x14ac:dyDescent="0.25">
      <c r="G2700" s="1" t="s">
        <v>222</v>
      </c>
      <c r="H2700" s="3">
        <v>0.5</v>
      </c>
      <c r="I2700" s="3">
        <v>0.70833333333333337</v>
      </c>
      <c r="J2700" s="3">
        <v>0.75</v>
      </c>
      <c r="K2700" s="3">
        <v>0.91666666666666663</v>
      </c>
      <c r="L2700" s="4"/>
      <c r="M2700" s="4"/>
    </row>
    <row r="2701" spans="1:13" x14ac:dyDescent="0.25">
      <c r="A2701" s="1" t="s">
        <v>7</v>
      </c>
      <c r="B2701" t="s">
        <v>137</v>
      </c>
      <c r="G2701" s="1" t="s">
        <v>223</v>
      </c>
      <c r="H2701" s="3">
        <v>0.5</v>
      </c>
      <c r="I2701" s="3">
        <v>0.70833333333333337</v>
      </c>
      <c r="J2701" s="3">
        <v>0.75</v>
      </c>
      <c r="K2701" s="3">
        <v>0.91666666666666663</v>
      </c>
      <c r="L2701" s="4"/>
      <c r="M2701" s="4"/>
    </row>
    <row r="2702" spans="1:13" x14ac:dyDescent="0.25">
      <c r="A2702" s="1" t="s">
        <v>9</v>
      </c>
      <c r="B2702" t="s">
        <v>138</v>
      </c>
      <c r="D2702" s="1" t="s">
        <v>11</v>
      </c>
      <c r="E2702" t="s">
        <v>138</v>
      </c>
      <c r="G2702" s="1" t="s">
        <v>224</v>
      </c>
      <c r="H2702" s="3">
        <v>0.5</v>
      </c>
      <c r="I2702" s="3">
        <v>0.70833333333333337</v>
      </c>
      <c r="J2702" s="3">
        <v>0.75</v>
      </c>
      <c r="K2702" s="3">
        <v>0.91666666666666663</v>
      </c>
      <c r="L2702" s="4"/>
      <c r="M2702" s="4"/>
    </row>
    <row r="2703" spans="1:13" x14ac:dyDescent="0.25">
      <c r="A2703" s="1" t="s">
        <v>12</v>
      </c>
      <c r="D2703" s="1" t="s">
        <v>13</v>
      </c>
      <c r="E2703" s="2">
        <v>42506</v>
      </c>
      <c r="G2703" s="1" t="s">
        <v>225</v>
      </c>
      <c r="H2703" s="3">
        <v>0.5</v>
      </c>
      <c r="I2703" s="3">
        <v>0.70833333333333337</v>
      </c>
      <c r="J2703" s="3">
        <v>0.75</v>
      </c>
      <c r="K2703" s="3">
        <v>0.875</v>
      </c>
      <c r="L2703" s="4"/>
      <c r="M2703" s="4"/>
    </row>
    <row r="2704" spans="1:13" x14ac:dyDescent="0.25">
      <c r="A2704" s="1" t="s">
        <v>14</v>
      </c>
      <c r="B2704" t="s">
        <v>58</v>
      </c>
      <c r="G2704" s="1" t="s">
        <v>226</v>
      </c>
      <c r="H2704" s="4" t="s">
        <v>25</v>
      </c>
      <c r="I2704" s="4" t="s">
        <v>25</v>
      </c>
      <c r="J2704" s="4" t="s">
        <v>25</v>
      </c>
      <c r="K2704" s="4" t="s">
        <v>25</v>
      </c>
      <c r="L2704" s="4" t="s">
        <v>25</v>
      </c>
      <c r="M2704" s="4" t="s">
        <v>25</v>
      </c>
    </row>
    <row r="2705" spans="1:16" x14ac:dyDescent="0.25">
      <c r="A2705" s="1" t="s">
        <v>16</v>
      </c>
      <c r="B2705" t="s">
        <v>17</v>
      </c>
    </row>
    <row r="2708" spans="1:16" x14ac:dyDescent="0.25">
      <c r="A2708" s="5" t="s">
        <v>26</v>
      </c>
      <c r="B2708" s="5" t="s">
        <v>27</v>
      </c>
      <c r="C2708" s="5" t="s">
        <v>28</v>
      </c>
      <c r="D2708" s="5" t="s">
        <v>29</v>
      </c>
      <c r="E2708" s="5" t="s">
        <v>30</v>
      </c>
      <c r="F2708" s="5" t="s">
        <v>31</v>
      </c>
      <c r="G2708" s="5" t="s">
        <v>32</v>
      </c>
      <c r="H2708" s="5" t="s">
        <v>33</v>
      </c>
      <c r="I2708" s="5" t="s">
        <v>34</v>
      </c>
      <c r="J2708" s="5" t="s">
        <v>35</v>
      </c>
      <c r="K2708" s="5" t="s">
        <v>36</v>
      </c>
      <c r="L2708" s="5" t="s">
        <v>37</v>
      </c>
      <c r="M2708" s="5" t="s">
        <v>38</v>
      </c>
      <c r="N2708" s="5" t="s">
        <v>39</v>
      </c>
      <c r="O2708" s="5" t="s">
        <v>40</v>
      </c>
      <c r="P2708" s="5" t="s">
        <v>41</v>
      </c>
    </row>
    <row r="2709" spans="1:16" x14ac:dyDescent="0.25">
      <c r="A2709" s="4"/>
      <c r="B2709" s="4"/>
      <c r="C2709" s="4"/>
      <c r="D2709" s="4"/>
      <c r="E2709" s="4"/>
      <c r="F2709" s="4"/>
      <c r="G2709" s="4"/>
      <c r="H2709" s="6">
        <v>7.708333333333333</v>
      </c>
      <c r="I2709" s="6">
        <v>7.6645833333333329</v>
      </c>
      <c r="J2709" s="6">
        <v>1.125</v>
      </c>
      <c r="K2709" s="3">
        <v>0</v>
      </c>
      <c r="L2709" s="6">
        <v>1.2222222222222221</v>
      </c>
      <c r="M2709" s="3">
        <v>0</v>
      </c>
      <c r="N2709" s="3">
        <v>8.9583333333333334E-2</v>
      </c>
      <c r="O2709" s="3">
        <v>4.3750000000000004E-2</v>
      </c>
      <c r="P2709" s="3">
        <v>4.6527777777777779E-2</v>
      </c>
    </row>
    <row r="2710" spans="1:16" x14ac:dyDescent="0.25">
      <c r="A2710" s="4" t="s">
        <v>227</v>
      </c>
      <c r="B2710" s="4" t="s">
        <v>25</v>
      </c>
      <c r="C2710" s="4" t="s">
        <v>25</v>
      </c>
      <c r="D2710" s="4" t="s">
        <v>25</v>
      </c>
      <c r="E2710" s="4" t="s">
        <v>25</v>
      </c>
      <c r="F2710" s="4" t="s">
        <v>25</v>
      </c>
      <c r="G2710" s="4" t="s">
        <v>25</v>
      </c>
      <c r="H2710" s="4"/>
      <c r="I2710" s="4"/>
      <c r="J2710" s="4"/>
      <c r="K2710" s="4"/>
      <c r="L2710" s="4"/>
      <c r="M2710" s="4"/>
      <c r="N2710" s="4"/>
      <c r="O2710" s="4"/>
      <c r="P2710" s="4"/>
    </row>
    <row r="2711" spans="1:16" x14ac:dyDescent="0.25">
      <c r="A2711" s="4" t="s">
        <v>228</v>
      </c>
      <c r="B2711" s="3">
        <v>0.50555555555555554</v>
      </c>
      <c r="C2711" s="3">
        <v>0.74236111111111114</v>
      </c>
      <c r="D2711" s="3">
        <v>0.78680555555555554</v>
      </c>
      <c r="E2711" s="3">
        <v>0.92013888888888884</v>
      </c>
      <c r="F2711" s="4"/>
      <c r="G2711" s="4"/>
      <c r="H2711" s="3">
        <v>0.375</v>
      </c>
      <c r="I2711" s="3">
        <v>0.3666666666666667</v>
      </c>
      <c r="J2711" s="4"/>
      <c r="K2711" s="4"/>
      <c r="L2711" s="4"/>
      <c r="M2711" s="4"/>
      <c r="N2711" s="4"/>
      <c r="O2711" s="3">
        <v>8.3333333333333332E-3</v>
      </c>
      <c r="P2711" s="4"/>
    </row>
    <row r="2712" spans="1:16" x14ac:dyDescent="0.25">
      <c r="A2712" s="4" t="s">
        <v>229</v>
      </c>
      <c r="B2712" s="3">
        <v>0.50624999999999998</v>
      </c>
      <c r="C2712" s="3">
        <v>0.81805555555555554</v>
      </c>
      <c r="D2712" s="3">
        <v>0.8569444444444444</v>
      </c>
      <c r="E2712" s="3">
        <v>0.9194444444444444</v>
      </c>
      <c r="F2712" s="4"/>
      <c r="G2712" s="4"/>
      <c r="H2712" s="3">
        <v>0.375</v>
      </c>
      <c r="I2712" s="3">
        <v>0.375</v>
      </c>
      <c r="J2712" s="4"/>
      <c r="K2712" s="4"/>
      <c r="L2712" s="4"/>
      <c r="M2712" s="4"/>
      <c r="N2712" s="4"/>
      <c r="O2712" s="4"/>
      <c r="P2712" s="4"/>
    </row>
    <row r="2713" spans="1:16" x14ac:dyDescent="0.25">
      <c r="A2713" s="4" t="s">
        <v>230</v>
      </c>
      <c r="B2713" s="3">
        <v>0.51041666666666663</v>
      </c>
      <c r="C2713" s="3">
        <v>0.79305555555555562</v>
      </c>
      <c r="D2713" s="3">
        <v>0.83611111111111114</v>
      </c>
      <c r="E2713" s="3">
        <v>0.92152777777777783</v>
      </c>
      <c r="F2713" s="4"/>
      <c r="G2713" s="4"/>
      <c r="H2713" s="3">
        <v>0.375</v>
      </c>
      <c r="I2713" s="3">
        <v>0.36805555555555558</v>
      </c>
      <c r="J2713" s="4"/>
      <c r="K2713" s="4"/>
      <c r="L2713" s="4"/>
      <c r="M2713" s="4"/>
      <c r="N2713" s="3">
        <v>4.8611111111111112E-3</v>
      </c>
      <c r="O2713" s="3">
        <v>6.9444444444444441E-3</v>
      </c>
      <c r="P2713" s="4"/>
    </row>
    <row r="2714" spans="1:16" x14ac:dyDescent="0.25">
      <c r="A2714" s="4" t="s">
        <v>231</v>
      </c>
      <c r="B2714" s="3">
        <v>0.50694444444444442</v>
      </c>
      <c r="C2714" s="3">
        <v>0.54791666666666672</v>
      </c>
      <c r="D2714" s="3">
        <v>0.58888888888888891</v>
      </c>
      <c r="E2714" s="3">
        <v>0.92083333333333339</v>
      </c>
      <c r="F2714" s="4"/>
      <c r="G2714" s="4"/>
      <c r="H2714" s="3">
        <v>0.375</v>
      </c>
      <c r="I2714" s="3">
        <v>0.375</v>
      </c>
      <c r="J2714" s="4"/>
      <c r="K2714" s="4"/>
      <c r="L2714" s="4"/>
      <c r="M2714" s="4"/>
      <c r="N2714" s="3">
        <v>4.1666666666666666E-3</v>
      </c>
      <c r="O2714" s="4"/>
      <c r="P2714" s="4"/>
    </row>
    <row r="2715" spans="1:16" x14ac:dyDescent="0.25">
      <c r="A2715" s="4" t="s">
        <v>232</v>
      </c>
      <c r="B2715" s="3">
        <v>0.50972222222222219</v>
      </c>
      <c r="C2715" s="3">
        <v>0.59375</v>
      </c>
      <c r="D2715" s="3">
        <v>0.63402777777777775</v>
      </c>
      <c r="E2715" s="3">
        <v>0.87986111111111109</v>
      </c>
      <c r="F2715" s="4"/>
      <c r="G2715" s="4"/>
      <c r="H2715" s="3">
        <v>0.33333333333333331</v>
      </c>
      <c r="I2715" s="3">
        <v>0.33333333333333331</v>
      </c>
      <c r="J2715" s="4"/>
      <c r="K2715" s="4"/>
      <c r="L2715" s="4"/>
      <c r="M2715" s="4"/>
      <c r="N2715" s="4"/>
      <c r="O2715" s="4"/>
      <c r="P2715" s="4"/>
    </row>
    <row r="2716" spans="1:16" x14ac:dyDescent="0.25">
      <c r="A2716" s="4" t="s">
        <v>233</v>
      </c>
      <c r="B2716" s="4" t="s">
        <v>25</v>
      </c>
      <c r="C2716" s="4" t="s">
        <v>25</v>
      </c>
      <c r="D2716" s="4" t="s">
        <v>25</v>
      </c>
      <c r="E2716" s="4" t="s">
        <v>25</v>
      </c>
      <c r="F2716" s="4" t="s">
        <v>25</v>
      </c>
      <c r="G2716" s="4" t="s">
        <v>25</v>
      </c>
      <c r="H2716" s="4"/>
      <c r="I2716" s="4"/>
      <c r="J2716" s="4"/>
      <c r="K2716" s="4"/>
      <c r="L2716" s="3">
        <v>0.30555555555555552</v>
      </c>
      <c r="M2716" s="4"/>
      <c r="N2716" s="4"/>
      <c r="O2716" s="4"/>
      <c r="P2716" s="4"/>
    </row>
    <row r="2717" spans="1:16" x14ac:dyDescent="0.25">
      <c r="A2717" s="4" t="s">
        <v>234</v>
      </c>
      <c r="B2717" s="4" t="s">
        <v>25</v>
      </c>
      <c r="C2717" s="4" t="s">
        <v>25</v>
      </c>
      <c r="D2717" s="4" t="s">
        <v>25</v>
      </c>
      <c r="E2717" s="4" t="s">
        <v>25</v>
      </c>
      <c r="F2717" s="4" t="s">
        <v>25</v>
      </c>
      <c r="G2717" s="4" t="s">
        <v>25</v>
      </c>
      <c r="H2717" s="4"/>
      <c r="I2717" s="4"/>
      <c r="J2717" s="4"/>
      <c r="K2717" s="4"/>
      <c r="L2717" s="4"/>
      <c r="M2717" s="4"/>
      <c r="N2717" s="4"/>
      <c r="O2717" s="4"/>
      <c r="P2717" s="4"/>
    </row>
    <row r="2718" spans="1:16" x14ac:dyDescent="0.25">
      <c r="A2718" s="4" t="s">
        <v>235</v>
      </c>
      <c r="B2718" s="3">
        <v>0.51458333333333328</v>
      </c>
      <c r="C2718" s="3">
        <v>0.81319444444444444</v>
      </c>
      <c r="D2718" s="3">
        <v>0.85486111111111107</v>
      </c>
      <c r="E2718" s="3">
        <v>0.9194444444444444</v>
      </c>
      <c r="F2718" s="4"/>
      <c r="G2718" s="4"/>
      <c r="H2718" s="3">
        <v>0.375</v>
      </c>
      <c r="I2718" s="3">
        <v>0.36041666666666666</v>
      </c>
      <c r="J2718" s="4"/>
      <c r="K2718" s="4"/>
      <c r="L2718" s="4"/>
      <c r="M2718" s="4"/>
      <c r="N2718" s="4"/>
      <c r="O2718" s="3">
        <v>1.4583333333333332E-2</v>
      </c>
      <c r="P2718" s="4"/>
    </row>
    <row r="2719" spans="1:16" x14ac:dyDescent="0.25">
      <c r="A2719" s="4" t="s">
        <v>236</v>
      </c>
      <c r="B2719" s="3">
        <v>0.50555555555555554</v>
      </c>
      <c r="C2719" s="3">
        <v>0.81388888888888899</v>
      </c>
      <c r="D2719" s="3">
        <v>0.85486111111111107</v>
      </c>
      <c r="E2719" s="3">
        <v>0.92013888888888884</v>
      </c>
      <c r="F2719" s="4"/>
      <c r="G2719" s="4"/>
      <c r="H2719" s="3">
        <v>0.375</v>
      </c>
      <c r="I2719" s="3">
        <v>0.375</v>
      </c>
      <c r="J2719" s="4"/>
      <c r="K2719" s="4"/>
      <c r="L2719" s="4"/>
      <c r="M2719" s="4"/>
      <c r="N2719" s="4"/>
      <c r="O2719" s="4"/>
      <c r="P2719" s="4"/>
    </row>
    <row r="2720" spans="1:16" x14ac:dyDescent="0.25">
      <c r="A2720" s="4" t="s">
        <v>237</v>
      </c>
      <c r="B2720" s="3">
        <v>0.50694444444444442</v>
      </c>
      <c r="C2720" s="3">
        <v>0.79999999999999993</v>
      </c>
      <c r="D2720" s="3">
        <v>0.84097222222222223</v>
      </c>
      <c r="E2720" s="3">
        <v>0.91875000000000007</v>
      </c>
      <c r="F2720" s="4"/>
      <c r="G2720" s="4"/>
      <c r="H2720" s="3">
        <v>0.375</v>
      </c>
      <c r="I2720" s="3">
        <v>0.375</v>
      </c>
      <c r="J2720" s="4"/>
      <c r="K2720" s="4"/>
      <c r="L2720" s="4"/>
      <c r="M2720" s="4"/>
      <c r="N2720" s="4"/>
      <c r="O2720" s="4"/>
      <c r="P2720" s="4"/>
    </row>
    <row r="2721" spans="1:16" x14ac:dyDescent="0.25">
      <c r="A2721" s="4" t="s">
        <v>238</v>
      </c>
      <c r="B2721" s="3">
        <v>0.51180555555555551</v>
      </c>
      <c r="C2721" s="3">
        <v>0.56874999999999998</v>
      </c>
      <c r="D2721" s="3">
        <v>0.60902777777777783</v>
      </c>
      <c r="E2721" s="4" t="s">
        <v>313</v>
      </c>
      <c r="F2721" s="4"/>
      <c r="G2721" s="4"/>
      <c r="H2721" s="3">
        <v>0.375</v>
      </c>
      <c r="I2721" s="3">
        <v>0.375</v>
      </c>
      <c r="J2721" s="4"/>
      <c r="K2721" s="4"/>
      <c r="L2721" s="4"/>
      <c r="M2721" s="4"/>
      <c r="N2721" s="3">
        <v>4.1666666666666664E-2</v>
      </c>
      <c r="O2721" s="4"/>
      <c r="P2721" s="3">
        <v>3.125E-2</v>
      </c>
    </row>
    <row r="2722" spans="1:16" x14ac:dyDescent="0.25">
      <c r="A2722" s="4" t="s">
        <v>239</v>
      </c>
      <c r="B2722" s="3">
        <v>0.50416666666666665</v>
      </c>
      <c r="C2722" s="3">
        <v>0.65347222222222223</v>
      </c>
      <c r="D2722" s="3">
        <v>0.69374999999999998</v>
      </c>
      <c r="E2722" s="3">
        <v>0.87638888888888899</v>
      </c>
      <c r="F2722" s="4"/>
      <c r="G2722" s="4"/>
      <c r="H2722" s="3">
        <v>0.33333333333333331</v>
      </c>
      <c r="I2722" s="3">
        <v>0.33333333333333331</v>
      </c>
      <c r="J2722" s="4"/>
      <c r="K2722" s="4"/>
      <c r="L2722" s="4"/>
      <c r="M2722" s="4"/>
      <c r="N2722" s="4"/>
      <c r="O2722" s="4"/>
      <c r="P2722" s="4"/>
    </row>
    <row r="2723" spans="1:16" x14ac:dyDescent="0.25">
      <c r="A2723" s="4" t="s">
        <v>240</v>
      </c>
      <c r="B2723" s="4" t="s">
        <v>25</v>
      </c>
      <c r="C2723" s="4" t="s">
        <v>25</v>
      </c>
      <c r="D2723" s="4" t="s">
        <v>25</v>
      </c>
      <c r="E2723" s="4" t="s">
        <v>25</v>
      </c>
      <c r="F2723" s="4" t="s">
        <v>25</v>
      </c>
      <c r="G2723" s="4" t="s">
        <v>25</v>
      </c>
      <c r="H2723" s="4"/>
      <c r="I2723" s="4"/>
      <c r="J2723" s="4"/>
      <c r="K2723" s="4"/>
      <c r="L2723" s="3">
        <v>0.30555555555555552</v>
      </c>
      <c r="M2723" s="4"/>
      <c r="N2723" s="4"/>
      <c r="O2723" s="4"/>
      <c r="P2723" s="4"/>
    </row>
    <row r="2724" spans="1:16" x14ac:dyDescent="0.25">
      <c r="A2724" s="4" t="s">
        <v>241</v>
      </c>
      <c r="B2724" s="4" t="s">
        <v>25</v>
      </c>
      <c r="C2724" s="4" t="s">
        <v>25</v>
      </c>
      <c r="D2724" s="4" t="s">
        <v>25</v>
      </c>
      <c r="E2724" s="4" t="s">
        <v>25</v>
      </c>
      <c r="F2724" s="4" t="s">
        <v>25</v>
      </c>
      <c r="G2724" s="4" t="s">
        <v>25</v>
      </c>
      <c r="H2724" s="4"/>
      <c r="I2724" s="4"/>
      <c r="J2724" s="4"/>
      <c r="K2724" s="4"/>
      <c r="L2724" s="4"/>
      <c r="M2724" s="4"/>
      <c r="N2724" s="4"/>
      <c r="O2724" s="4"/>
      <c r="P2724" s="4"/>
    </row>
    <row r="2725" spans="1:16" x14ac:dyDescent="0.25">
      <c r="A2725" s="4" t="s">
        <v>242</v>
      </c>
      <c r="B2725" s="3">
        <v>0.51458333333333328</v>
      </c>
      <c r="C2725" s="3">
        <v>0.82638888888888884</v>
      </c>
      <c r="D2725" s="3">
        <v>0.86736111111111114</v>
      </c>
      <c r="E2725" s="3">
        <v>0.9194444444444444</v>
      </c>
      <c r="F2725" s="4"/>
      <c r="G2725" s="4"/>
      <c r="H2725" s="3">
        <v>0.375</v>
      </c>
      <c r="I2725" s="3">
        <v>0.3611111111111111</v>
      </c>
      <c r="J2725" s="4"/>
      <c r="K2725" s="4"/>
      <c r="L2725" s="4"/>
      <c r="M2725" s="4"/>
      <c r="N2725" s="4"/>
      <c r="O2725" s="3">
        <v>1.3888888888888888E-2</v>
      </c>
      <c r="P2725" s="4"/>
    </row>
    <row r="2726" spans="1:16" x14ac:dyDescent="0.25">
      <c r="A2726" s="4" t="s">
        <v>243</v>
      </c>
      <c r="B2726" s="3">
        <v>0.5180555555555556</v>
      </c>
      <c r="C2726" s="3">
        <v>0.80833333333333324</v>
      </c>
      <c r="D2726" s="3">
        <v>0.84583333333333333</v>
      </c>
      <c r="E2726" s="3">
        <v>0.93055555555555547</v>
      </c>
      <c r="F2726" s="4"/>
      <c r="G2726" s="4"/>
      <c r="H2726" s="3">
        <v>0.375</v>
      </c>
      <c r="I2726" s="3">
        <v>0.375</v>
      </c>
      <c r="J2726" s="4"/>
      <c r="K2726" s="4"/>
      <c r="L2726" s="4"/>
      <c r="M2726" s="4"/>
      <c r="N2726" s="3">
        <v>1.3888888888888888E-2</v>
      </c>
      <c r="O2726" s="4"/>
      <c r="P2726" s="4"/>
    </row>
    <row r="2727" spans="1:16" x14ac:dyDescent="0.25">
      <c r="A2727" s="4" t="s">
        <v>244</v>
      </c>
      <c r="B2727" s="4" t="s">
        <v>265</v>
      </c>
      <c r="C2727" s="4" t="s">
        <v>265</v>
      </c>
      <c r="D2727" s="4" t="s">
        <v>265</v>
      </c>
      <c r="E2727" s="4" t="s">
        <v>265</v>
      </c>
      <c r="F2727" s="4"/>
      <c r="G2727" s="4"/>
      <c r="H2727" s="4"/>
      <c r="I2727" s="4"/>
      <c r="J2727" s="4"/>
      <c r="K2727" s="4"/>
      <c r="L2727" s="4"/>
      <c r="M2727" s="4"/>
      <c r="N2727" s="4"/>
      <c r="O2727" s="4"/>
      <c r="P2727" s="4"/>
    </row>
    <row r="2728" spans="1:16" x14ac:dyDescent="0.25">
      <c r="A2728" s="4" t="s">
        <v>245</v>
      </c>
      <c r="B2728" s="3">
        <v>0.49861111111111112</v>
      </c>
      <c r="C2728" s="3">
        <v>0.55347222222222225</v>
      </c>
      <c r="D2728" s="3">
        <v>0.59236111111111112</v>
      </c>
      <c r="E2728" s="3">
        <v>0.9291666666666667</v>
      </c>
      <c r="F2728" s="4"/>
      <c r="G2728" s="4"/>
      <c r="H2728" s="3">
        <v>0.375</v>
      </c>
      <c r="I2728" s="3">
        <v>0.375</v>
      </c>
      <c r="J2728" s="4"/>
      <c r="K2728" s="4"/>
      <c r="L2728" s="4"/>
      <c r="M2728" s="4"/>
      <c r="N2728" s="3">
        <v>1.2499999999999999E-2</v>
      </c>
      <c r="O2728" s="4"/>
      <c r="P2728" s="3">
        <v>1.5277777777777777E-2</v>
      </c>
    </row>
    <row r="2729" spans="1:16" x14ac:dyDescent="0.25">
      <c r="A2729" s="4" t="s">
        <v>246</v>
      </c>
      <c r="B2729" s="3">
        <v>0.5</v>
      </c>
      <c r="C2729" s="3">
        <v>0.70347222222222217</v>
      </c>
      <c r="D2729" s="3">
        <v>0.74513888888888891</v>
      </c>
      <c r="E2729" s="3">
        <v>0.88124999999999998</v>
      </c>
      <c r="F2729" s="4"/>
      <c r="G2729" s="4"/>
      <c r="H2729" s="3">
        <v>0.33333333333333331</v>
      </c>
      <c r="I2729" s="3">
        <v>0.33333333333333331</v>
      </c>
      <c r="J2729" s="4"/>
      <c r="K2729" s="4"/>
      <c r="L2729" s="4"/>
      <c r="M2729" s="4"/>
      <c r="N2729" s="4"/>
      <c r="O2729" s="4"/>
      <c r="P2729" s="4"/>
    </row>
    <row r="2730" spans="1:16" x14ac:dyDescent="0.25">
      <c r="A2730" s="4" t="s">
        <v>247</v>
      </c>
      <c r="B2730" s="4" t="s">
        <v>25</v>
      </c>
      <c r="C2730" s="4" t="s">
        <v>25</v>
      </c>
      <c r="D2730" s="4" t="s">
        <v>25</v>
      </c>
      <c r="E2730" s="4" t="s">
        <v>25</v>
      </c>
      <c r="F2730" s="4" t="s">
        <v>25</v>
      </c>
      <c r="G2730" s="4" t="s">
        <v>25</v>
      </c>
      <c r="H2730" s="4"/>
      <c r="I2730" s="4"/>
      <c r="J2730" s="4"/>
      <c r="K2730" s="4"/>
      <c r="L2730" s="3">
        <v>0.30555555555555552</v>
      </c>
      <c r="M2730" s="4"/>
      <c r="N2730" s="4"/>
      <c r="O2730" s="4"/>
      <c r="P2730" s="4"/>
    </row>
    <row r="2731" spans="1:16" x14ac:dyDescent="0.25">
      <c r="A2731" s="4" t="s">
        <v>248</v>
      </c>
      <c r="B2731" s="4" t="s">
        <v>25</v>
      </c>
      <c r="C2731" s="4" t="s">
        <v>25</v>
      </c>
      <c r="D2731" s="4" t="s">
        <v>25</v>
      </c>
      <c r="E2731" s="4" t="s">
        <v>25</v>
      </c>
      <c r="F2731" s="4" t="s">
        <v>25</v>
      </c>
      <c r="G2731" s="4" t="s">
        <v>25</v>
      </c>
      <c r="H2731" s="4"/>
      <c r="I2731" s="4"/>
      <c r="J2731" s="4"/>
      <c r="K2731" s="4"/>
      <c r="L2731" s="4"/>
      <c r="M2731" s="4"/>
      <c r="N2731" s="4"/>
      <c r="O2731" s="4"/>
      <c r="P2731" s="4"/>
    </row>
    <row r="2732" spans="1:16" x14ac:dyDescent="0.25">
      <c r="A2732" s="4" t="s">
        <v>249</v>
      </c>
      <c r="B2732" s="4" t="s">
        <v>52</v>
      </c>
      <c r="C2732" s="4" t="s">
        <v>52</v>
      </c>
      <c r="D2732" s="4" t="s">
        <v>52</v>
      </c>
      <c r="E2732" s="4" t="s">
        <v>52</v>
      </c>
      <c r="F2732" s="4"/>
      <c r="G2732" s="4"/>
      <c r="H2732" s="3">
        <v>0.375</v>
      </c>
      <c r="I2732" s="3">
        <v>0.375</v>
      </c>
      <c r="J2732" s="3">
        <v>0.375</v>
      </c>
      <c r="K2732" s="4"/>
      <c r="L2732" s="4"/>
      <c r="M2732" s="4"/>
      <c r="N2732" s="4"/>
      <c r="O2732" s="4"/>
      <c r="P2732" s="4"/>
    </row>
    <row r="2733" spans="1:16" x14ac:dyDescent="0.25">
      <c r="A2733" s="4" t="s">
        <v>251</v>
      </c>
      <c r="B2733" s="4" t="s">
        <v>52</v>
      </c>
      <c r="C2733" s="4" t="s">
        <v>52</v>
      </c>
      <c r="D2733" s="4" t="s">
        <v>52</v>
      </c>
      <c r="E2733" s="4" t="s">
        <v>52</v>
      </c>
      <c r="F2733" s="4"/>
      <c r="G2733" s="4"/>
      <c r="H2733" s="3">
        <v>0.375</v>
      </c>
      <c r="I2733" s="3">
        <v>0.375</v>
      </c>
      <c r="J2733" s="3">
        <v>0.375</v>
      </c>
      <c r="K2733" s="4"/>
      <c r="L2733" s="4"/>
      <c r="M2733" s="4"/>
      <c r="N2733" s="4"/>
      <c r="O2733" s="4"/>
      <c r="P2733" s="4"/>
    </row>
    <row r="2734" spans="1:16" x14ac:dyDescent="0.25">
      <c r="A2734" s="4" t="s">
        <v>256</v>
      </c>
      <c r="B2734" s="4" t="s">
        <v>52</v>
      </c>
      <c r="C2734" s="4" t="s">
        <v>52</v>
      </c>
      <c r="D2734" s="4" t="s">
        <v>52</v>
      </c>
      <c r="E2734" s="4" t="s">
        <v>52</v>
      </c>
      <c r="F2734" s="4"/>
      <c r="G2734" s="4"/>
      <c r="H2734" s="3">
        <v>0.375</v>
      </c>
      <c r="I2734" s="3">
        <v>0.375</v>
      </c>
      <c r="J2734" s="3">
        <v>0.375</v>
      </c>
      <c r="K2734" s="4"/>
      <c r="L2734" s="4"/>
      <c r="M2734" s="4"/>
      <c r="N2734" s="4"/>
      <c r="O2734" s="4"/>
      <c r="P2734" s="4"/>
    </row>
    <row r="2735" spans="1:16" x14ac:dyDescent="0.25">
      <c r="A2735" s="4" t="s">
        <v>259</v>
      </c>
      <c r="B2735" s="3">
        <v>0.50069444444444444</v>
      </c>
      <c r="C2735" s="3">
        <v>0.55694444444444446</v>
      </c>
      <c r="D2735" s="3">
        <v>0.60069444444444442</v>
      </c>
      <c r="E2735" s="3">
        <v>0.92291666666666661</v>
      </c>
      <c r="F2735" s="4"/>
      <c r="G2735" s="4"/>
      <c r="H2735" s="3">
        <v>0.375</v>
      </c>
      <c r="I2735" s="3">
        <v>0.375</v>
      </c>
      <c r="J2735" s="4"/>
      <c r="K2735" s="4"/>
      <c r="L2735" s="4"/>
      <c r="M2735" s="4"/>
      <c r="N2735" s="3">
        <v>6.2499999999999995E-3</v>
      </c>
      <c r="O2735" s="4"/>
      <c r="P2735" s="4"/>
    </row>
    <row r="2736" spans="1:16" x14ac:dyDescent="0.25">
      <c r="A2736" s="4" t="s">
        <v>260</v>
      </c>
      <c r="B2736" s="3">
        <v>0.49722222222222223</v>
      </c>
      <c r="C2736" s="3">
        <v>0.58958333333333335</v>
      </c>
      <c r="D2736" s="3">
        <v>0.63611111111111118</v>
      </c>
      <c r="E2736" s="3">
        <v>0.87777777777777777</v>
      </c>
      <c r="F2736" s="4"/>
      <c r="G2736" s="4"/>
      <c r="H2736" s="3">
        <v>0.33333333333333331</v>
      </c>
      <c r="I2736" s="3">
        <v>0.33333333333333331</v>
      </c>
      <c r="J2736" s="4"/>
      <c r="K2736" s="4"/>
      <c r="L2736" s="4"/>
      <c r="M2736" s="4"/>
      <c r="N2736" s="4"/>
      <c r="O2736" s="4"/>
      <c r="P2736" s="4"/>
    </row>
    <row r="2737" spans="1:16" x14ac:dyDescent="0.25">
      <c r="A2737" s="4" t="s">
        <v>261</v>
      </c>
      <c r="B2737" s="4" t="s">
        <v>25</v>
      </c>
      <c r="C2737" s="4" t="s">
        <v>25</v>
      </c>
      <c r="D2737" s="4" t="s">
        <v>25</v>
      </c>
      <c r="E2737" s="4" t="s">
        <v>25</v>
      </c>
      <c r="F2737" s="4" t="s">
        <v>25</v>
      </c>
      <c r="G2737" s="4" t="s">
        <v>25</v>
      </c>
      <c r="H2737" s="4"/>
      <c r="I2737" s="4"/>
      <c r="J2737" s="4"/>
      <c r="K2737" s="4"/>
      <c r="L2737" s="3">
        <v>0.30555555555555552</v>
      </c>
      <c r="M2737" s="4"/>
      <c r="N2737" s="4"/>
      <c r="O2737" s="4"/>
      <c r="P2737" s="4"/>
    </row>
    <row r="2738" spans="1:16" x14ac:dyDescent="0.25">
      <c r="A2738" s="4" t="s">
        <v>262</v>
      </c>
      <c r="B2738" s="4" t="s">
        <v>25</v>
      </c>
      <c r="C2738" s="4" t="s">
        <v>25</v>
      </c>
      <c r="D2738" s="4" t="s">
        <v>25</v>
      </c>
      <c r="E2738" s="4" t="s">
        <v>25</v>
      </c>
      <c r="F2738" s="4" t="s">
        <v>25</v>
      </c>
      <c r="G2738" s="4" t="s">
        <v>25</v>
      </c>
      <c r="H2738" s="4"/>
      <c r="I2738" s="4"/>
      <c r="J2738" s="4"/>
      <c r="K2738" s="4"/>
      <c r="L2738" s="4"/>
      <c r="M2738" s="4"/>
      <c r="N2738" s="4"/>
      <c r="O2738" s="4"/>
      <c r="P2738" s="4"/>
    </row>
    <row r="2739" spans="1:16" x14ac:dyDescent="0.25">
      <c r="A2739" s="4" t="s">
        <v>263</v>
      </c>
      <c r="B2739" s="3">
        <v>0.50347222222222221</v>
      </c>
      <c r="C2739" s="3">
        <v>0.71666666666666667</v>
      </c>
      <c r="D2739" s="3">
        <v>0.7583333333333333</v>
      </c>
      <c r="E2739" s="3">
        <v>0.91736111111111107</v>
      </c>
      <c r="F2739" s="4"/>
      <c r="G2739" s="4"/>
      <c r="H2739" s="3">
        <v>0.375</v>
      </c>
      <c r="I2739" s="3">
        <v>0.375</v>
      </c>
      <c r="J2739" s="4"/>
      <c r="K2739" s="4"/>
      <c r="L2739" s="4"/>
      <c r="M2739" s="4"/>
      <c r="N2739" s="4"/>
      <c r="O2739" s="4"/>
      <c r="P2739" s="4"/>
    </row>
    <row r="2740" spans="1:16" x14ac:dyDescent="0.25">
      <c r="A2740" s="4" t="s">
        <v>264</v>
      </c>
      <c r="B2740" s="3">
        <v>0.50416666666666665</v>
      </c>
      <c r="C2740" s="3">
        <v>0.76666666666666661</v>
      </c>
      <c r="D2740" s="3">
        <v>0.80902777777777779</v>
      </c>
      <c r="E2740" s="3">
        <v>0.92291666666666661</v>
      </c>
      <c r="F2740" s="4"/>
      <c r="G2740" s="4"/>
      <c r="H2740" s="3">
        <v>0.375</v>
      </c>
      <c r="I2740" s="3">
        <v>0.375</v>
      </c>
      <c r="J2740" s="4"/>
      <c r="K2740" s="4"/>
      <c r="L2740" s="4"/>
      <c r="M2740" s="4"/>
      <c r="N2740" s="3">
        <v>6.2499999999999995E-3</v>
      </c>
      <c r="O2740" s="4"/>
      <c r="P2740" s="4"/>
    </row>
    <row r="2742" spans="1:16" x14ac:dyDescent="0.25">
      <c r="A2742" s="7" t="s">
        <v>45</v>
      </c>
    </row>
    <row r="2745" spans="1:16" x14ac:dyDescent="0.25">
      <c r="A2745" s="7" t="s">
        <v>46</v>
      </c>
    </row>
    <row r="2746" spans="1:16" x14ac:dyDescent="0.25">
      <c r="A2746" s="7" t="s">
        <v>137</v>
      </c>
      <c r="F2746" s="7" t="s">
        <v>47</v>
      </c>
    </row>
    <row r="2747" spans="1:16" x14ac:dyDescent="0.25">
      <c r="F2747" s="7"/>
    </row>
    <row r="2751" spans="1:16" x14ac:dyDescent="0.25">
      <c r="G2751" s="1" t="s">
        <v>18</v>
      </c>
    </row>
    <row r="2752" spans="1:16" x14ac:dyDescent="0.25">
      <c r="A2752" s="1" t="s">
        <v>1</v>
      </c>
      <c r="B2752" t="s">
        <v>2</v>
      </c>
      <c r="H2752" s="1" t="s">
        <v>19</v>
      </c>
      <c r="I2752" s="1" t="s">
        <v>20</v>
      </c>
      <c r="J2752" s="1" t="s">
        <v>21</v>
      </c>
      <c r="K2752" s="1" t="s">
        <v>22</v>
      </c>
      <c r="L2752" s="1" t="s">
        <v>23</v>
      </c>
      <c r="M2752" s="1" t="s">
        <v>24</v>
      </c>
    </row>
    <row r="2753" spans="1:16" x14ac:dyDescent="0.25">
      <c r="A2753" s="1" t="s">
        <v>3</v>
      </c>
      <c r="B2753" t="s">
        <v>4</v>
      </c>
      <c r="G2753" s="1" t="s">
        <v>220</v>
      </c>
      <c r="H2753" s="3">
        <v>0.33333333333333331</v>
      </c>
      <c r="I2753" s="3">
        <v>0.5</v>
      </c>
      <c r="J2753" s="3">
        <v>0.54166666666666663</v>
      </c>
      <c r="K2753" s="3">
        <v>0.70833333333333337</v>
      </c>
      <c r="L2753" s="4"/>
      <c r="M2753" s="4"/>
    </row>
    <row r="2754" spans="1:16" x14ac:dyDescent="0.25">
      <c r="A2754" s="1" t="s">
        <v>5</v>
      </c>
      <c r="B2754" t="s">
        <v>6</v>
      </c>
      <c r="G2754" s="1" t="s">
        <v>221</v>
      </c>
      <c r="H2754" s="3">
        <v>0.33333333333333331</v>
      </c>
      <c r="I2754" s="3">
        <v>0.5</v>
      </c>
      <c r="J2754" s="3">
        <v>0.54166666666666663</v>
      </c>
      <c r="K2754" s="3">
        <v>0.75</v>
      </c>
      <c r="L2754" s="4"/>
      <c r="M2754" s="4"/>
    </row>
    <row r="2755" spans="1:16" x14ac:dyDescent="0.25">
      <c r="G2755" s="1" t="s">
        <v>222</v>
      </c>
      <c r="H2755" s="3">
        <v>0.33333333333333331</v>
      </c>
      <c r="I2755" s="3">
        <v>0.5</v>
      </c>
      <c r="J2755" s="3">
        <v>0.54166666666666663</v>
      </c>
      <c r="K2755" s="3">
        <v>0.75</v>
      </c>
      <c r="L2755" s="4"/>
      <c r="M2755" s="4"/>
    </row>
    <row r="2756" spans="1:16" x14ac:dyDescent="0.25">
      <c r="A2756" s="1" t="s">
        <v>7</v>
      </c>
      <c r="B2756" t="s">
        <v>139</v>
      </c>
      <c r="G2756" s="1" t="s">
        <v>223</v>
      </c>
      <c r="H2756" s="3">
        <v>0.33333333333333331</v>
      </c>
      <c r="I2756" s="3">
        <v>0.5</v>
      </c>
      <c r="J2756" s="3">
        <v>0.54166666666666663</v>
      </c>
      <c r="K2756" s="3">
        <v>0.75</v>
      </c>
      <c r="L2756" s="4"/>
      <c r="M2756" s="4"/>
    </row>
    <row r="2757" spans="1:16" x14ac:dyDescent="0.25">
      <c r="A2757" s="1" t="s">
        <v>9</v>
      </c>
      <c r="B2757" t="s">
        <v>140</v>
      </c>
      <c r="D2757" s="1" t="s">
        <v>11</v>
      </c>
      <c r="E2757" t="s">
        <v>140</v>
      </c>
      <c r="G2757" s="1" t="s">
        <v>224</v>
      </c>
      <c r="H2757" s="3">
        <v>0.33333333333333331</v>
      </c>
      <c r="I2757" s="3">
        <v>0.5</v>
      </c>
      <c r="J2757" s="3">
        <v>0.54166666666666663</v>
      </c>
      <c r="K2757" s="3">
        <v>0.75</v>
      </c>
      <c r="L2757" s="4"/>
      <c r="M2757" s="4"/>
    </row>
    <row r="2758" spans="1:16" x14ac:dyDescent="0.25">
      <c r="A2758" s="1" t="s">
        <v>12</v>
      </c>
      <c r="D2758" s="1" t="s">
        <v>13</v>
      </c>
      <c r="E2758" s="2">
        <v>42278</v>
      </c>
      <c r="G2758" s="1" t="s">
        <v>225</v>
      </c>
      <c r="H2758" s="4" t="s">
        <v>25</v>
      </c>
      <c r="I2758" s="4" t="s">
        <v>25</v>
      </c>
      <c r="J2758" s="4" t="s">
        <v>25</v>
      </c>
      <c r="K2758" s="4" t="s">
        <v>25</v>
      </c>
      <c r="L2758" s="4" t="s">
        <v>25</v>
      </c>
      <c r="M2758" s="4" t="s">
        <v>25</v>
      </c>
    </row>
    <row r="2759" spans="1:16" x14ac:dyDescent="0.25">
      <c r="A2759" s="1" t="s">
        <v>14</v>
      </c>
      <c r="B2759" t="s">
        <v>58</v>
      </c>
      <c r="G2759" s="1" t="s">
        <v>226</v>
      </c>
      <c r="H2759" s="4" t="s">
        <v>25</v>
      </c>
      <c r="I2759" s="4" t="s">
        <v>25</v>
      </c>
      <c r="J2759" s="4" t="s">
        <v>25</v>
      </c>
      <c r="K2759" s="4" t="s">
        <v>25</v>
      </c>
      <c r="L2759" s="4" t="s">
        <v>25</v>
      </c>
      <c r="M2759" s="4" t="s">
        <v>25</v>
      </c>
    </row>
    <row r="2760" spans="1:16" x14ac:dyDescent="0.25">
      <c r="A2760" s="1" t="s">
        <v>16</v>
      </c>
      <c r="B2760" t="s">
        <v>17</v>
      </c>
    </row>
    <row r="2763" spans="1:16" x14ac:dyDescent="0.25">
      <c r="A2763" s="5" t="s">
        <v>26</v>
      </c>
      <c r="B2763" s="5" t="s">
        <v>27</v>
      </c>
      <c r="C2763" s="5" t="s">
        <v>28</v>
      </c>
      <c r="D2763" s="5" t="s">
        <v>29</v>
      </c>
      <c r="E2763" s="5" t="s">
        <v>30</v>
      </c>
      <c r="F2763" s="5" t="s">
        <v>31</v>
      </c>
      <c r="G2763" s="5" t="s">
        <v>32</v>
      </c>
      <c r="H2763" s="5" t="s">
        <v>33</v>
      </c>
      <c r="I2763" s="5" t="s">
        <v>34</v>
      </c>
      <c r="J2763" s="5" t="s">
        <v>35</v>
      </c>
      <c r="K2763" s="5" t="s">
        <v>36</v>
      </c>
      <c r="L2763" s="5" t="s">
        <v>37</v>
      </c>
      <c r="M2763" s="5" t="s">
        <v>38</v>
      </c>
      <c r="N2763" s="5" t="s">
        <v>39</v>
      </c>
      <c r="O2763" s="5" t="s">
        <v>40</v>
      </c>
      <c r="P2763" s="5" t="s">
        <v>41</v>
      </c>
    </row>
    <row r="2764" spans="1:16" x14ac:dyDescent="0.25">
      <c r="A2764" s="4"/>
      <c r="B2764" s="4"/>
      <c r="C2764" s="4"/>
      <c r="D2764" s="4"/>
      <c r="E2764" s="4"/>
      <c r="F2764" s="4"/>
      <c r="G2764" s="4"/>
      <c r="H2764" s="6">
        <v>8.0416666666666661</v>
      </c>
      <c r="I2764" s="6">
        <v>8.0416666666666661</v>
      </c>
      <c r="J2764" s="6">
        <v>1.4423611111111112</v>
      </c>
      <c r="K2764" s="3">
        <v>0</v>
      </c>
      <c r="L2764" s="3">
        <v>0</v>
      </c>
      <c r="M2764" s="3">
        <v>0</v>
      </c>
      <c r="N2764" s="3">
        <v>0</v>
      </c>
      <c r="O2764" s="3">
        <v>0</v>
      </c>
      <c r="P2764" s="3">
        <v>7.6388888888888886E-3</v>
      </c>
    </row>
    <row r="2765" spans="1:16" x14ac:dyDescent="0.25">
      <c r="A2765" s="4" t="s">
        <v>227</v>
      </c>
      <c r="B2765" s="3">
        <v>0.33194444444444443</v>
      </c>
      <c r="C2765" s="3">
        <v>0.57222222222222219</v>
      </c>
      <c r="D2765" s="3">
        <v>0.61319444444444449</v>
      </c>
      <c r="E2765" s="3">
        <v>0.71250000000000002</v>
      </c>
      <c r="F2765" s="4"/>
      <c r="G2765" s="4"/>
      <c r="H2765" s="3">
        <v>0.33333333333333331</v>
      </c>
      <c r="I2765" s="3">
        <v>0.33333333333333331</v>
      </c>
      <c r="J2765" s="4"/>
      <c r="K2765" s="4"/>
      <c r="L2765" s="4"/>
      <c r="M2765" s="4"/>
      <c r="N2765" s="4"/>
      <c r="O2765" s="4"/>
      <c r="P2765" s="4"/>
    </row>
    <row r="2766" spans="1:16" x14ac:dyDescent="0.25">
      <c r="A2766" s="4" t="s">
        <v>228</v>
      </c>
      <c r="B2766" s="3">
        <v>0.3527777777777778</v>
      </c>
      <c r="C2766" s="3">
        <v>0.53472222222222221</v>
      </c>
      <c r="D2766" s="3">
        <v>0.55833333333333335</v>
      </c>
      <c r="E2766" s="4" t="s">
        <v>44</v>
      </c>
      <c r="F2766" s="4"/>
      <c r="G2766" s="4"/>
      <c r="H2766" s="3">
        <v>0.375</v>
      </c>
      <c r="I2766" s="3">
        <v>0.375</v>
      </c>
      <c r="J2766" s="4"/>
      <c r="K2766" s="4"/>
      <c r="L2766" s="4"/>
      <c r="M2766" s="4"/>
      <c r="N2766" s="4"/>
      <c r="O2766" s="4"/>
      <c r="P2766" s="4"/>
    </row>
    <row r="2767" spans="1:16" x14ac:dyDescent="0.25">
      <c r="A2767" s="4" t="s">
        <v>229</v>
      </c>
      <c r="B2767" s="3">
        <v>0.5</v>
      </c>
      <c r="C2767" s="3">
        <v>0.79999999999999993</v>
      </c>
      <c r="D2767" s="3">
        <v>0.84166666666666667</v>
      </c>
      <c r="E2767" s="3">
        <v>0.9159722222222223</v>
      </c>
      <c r="F2767" s="4"/>
      <c r="G2767" s="4"/>
      <c r="H2767" s="3">
        <v>0.375</v>
      </c>
      <c r="I2767" s="3">
        <v>0.375</v>
      </c>
      <c r="J2767" s="4"/>
      <c r="K2767" s="4"/>
      <c r="L2767" s="4"/>
      <c r="M2767" s="4"/>
      <c r="N2767" s="4"/>
      <c r="O2767" s="4"/>
      <c r="P2767" s="4"/>
    </row>
    <row r="2768" spans="1:16" x14ac:dyDescent="0.25">
      <c r="A2768" s="4" t="s">
        <v>230</v>
      </c>
      <c r="B2768" s="3">
        <v>0.3354166666666667</v>
      </c>
      <c r="C2768" s="3">
        <v>0.54999999999999993</v>
      </c>
      <c r="D2768" s="3">
        <v>0.59166666666666667</v>
      </c>
      <c r="E2768" s="3">
        <v>0.75277777777777777</v>
      </c>
      <c r="F2768" s="4"/>
      <c r="G2768" s="4"/>
      <c r="H2768" s="3">
        <v>0.375</v>
      </c>
      <c r="I2768" s="3">
        <v>0.375</v>
      </c>
      <c r="J2768" s="4"/>
      <c r="K2768" s="4"/>
      <c r="L2768" s="4"/>
      <c r="M2768" s="4"/>
      <c r="N2768" s="4"/>
      <c r="O2768" s="4"/>
      <c r="P2768" s="4"/>
    </row>
    <row r="2769" spans="1:16" x14ac:dyDescent="0.25">
      <c r="A2769" s="4" t="s">
        <v>231</v>
      </c>
      <c r="B2769" s="3">
        <v>0.32847222222222222</v>
      </c>
      <c r="C2769" s="3">
        <v>0.56666666666666665</v>
      </c>
      <c r="D2769" s="3">
        <v>0.6069444444444444</v>
      </c>
      <c r="E2769" s="3">
        <v>0.75069444444444444</v>
      </c>
      <c r="F2769" s="4"/>
      <c r="G2769" s="4"/>
      <c r="H2769" s="3">
        <v>0.375</v>
      </c>
      <c r="I2769" s="3">
        <v>0.375</v>
      </c>
      <c r="J2769" s="4"/>
      <c r="K2769" s="4"/>
      <c r="L2769" s="4"/>
      <c r="M2769" s="4"/>
      <c r="N2769" s="4"/>
      <c r="O2769" s="4"/>
      <c r="P2769" s="4"/>
    </row>
    <row r="2770" spans="1:16" x14ac:dyDescent="0.25">
      <c r="A2770" s="4" t="s">
        <v>232</v>
      </c>
      <c r="B2770" s="4" t="s">
        <v>25</v>
      </c>
      <c r="C2770" s="4" t="s">
        <v>25</v>
      </c>
      <c r="D2770" s="4" t="s">
        <v>25</v>
      </c>
      <c r="E2770" s="4" t="s">
        <v>25</v>
      </c>
      <c r="F2770" s="4" t="s">
        <v>25</v>
      </c>
      <c r="G2770" s="4" t="s">
        <v>25</v>
      </c>
      <c r="H2770" s="4"/>
      <c r="I2770" s="4"/>
      <c r="J2770" s="4"/>
      <c r="K2770" s="4"/>
      <c r="L2770" s="4"/>
      <c r="M2770" s="4"/>
      <c r="N2770" s="4"/>
      <c r="O2770" s="4"/>
      <c r="P2770" s="4"/>
    </row>
    <row r="2771" spans="1:16" x14ac:dyDescent="0.25">
      <c r="A2771" s="4" t="s">
        <v>233</v>
      </c>
      <c r="B2771" s="4" t="s">
        <v>25</v>
      </c>
      <c r="C2771" s="4" t="s">
        <v>25</v>
      </c>
      <c r="D2771" s="4" t="s">
        <v>25</v>
      </c>
      <c r="E2771" s="4" t="s">
        <v>25</v>
      </c>
      <c r="F2771" s="4" t="s">
        <v>25</v>
      </c>
      <c r="G2771" s="4" t="s">
        <v>25</v>
      </c>
      <c r="H2771" s="4"/>
      <c r="I2771" s="4"/>
      <c r="J2771" s="4"/>
      <c r="K2771" s="4"/>
      <c r="L2771" s="4"/>
      <c r="M2771" s="4"/>
      <c r="N2771" s="4"/>
      <c r="O2771" s="4"/>
      <c r="P2771" s="4"/>
    </row>
    <row r="2772" spans="1:16" x14ac:dyDescent="0.25">
      <c r="A2772" s="4" t="s">
        <v>234</v>
      </c>
      <c r="B2772" s="3">
        <v>0.33194444444444443</v>
      </c>
      <c r="C2772" s="3">
        <v>0.56388888888888888</v>
      </c>
      <c r="D2772" s="3">
        <v>0.60486111111111118</v>
      </c>
      <c r="E2772" s="3">
        <v>0.70833333333333337</v>
      </c>
      <c r="F2772" s="4"/>
      <c r="G2772" s="4"/>
      <c r="H2772" s="3">
        <v>0.33333333333333331</v>
      </c>
      <c r="I2772" s="3">
        <v>0.33333333333333331</v>
      </c>
      <c r="J2772" s="4"/>
      <c r="K2772" s="4"/>
      <c r="L2772" s="4"/>
      <c r="M2772" s="4"/>
      <c r="N2772" s="4"/>
      <c r="O2772" s="4"/>
      <c r="P2772" s="4"/>
    </row>
    <row r="2773" spans="1:16" x14ac:dyDescent="0.25">
      <c r="A2773" s="4" t="s">
        <v>235</v>
      </c>
      <c r="B2773" s="3">
        <v>0.33611111111111108</v>
      </c>
      <c r="C2773" s="3">
        <v>0.53611111111111109</v>
      </c>
      <c r="D2773" s="3">
        <v>0.57500000000000007</v>
      </c>
      <c r="E2773" s="3">
        <v>0.75</v>
      </c>
      <c r="F2773" s="4"/>
      <c r="G2773" s="4"/>
      <c r="H2773" s="3">
        <v>0.375</v>
      </c>
      <c r="I2773" s="3">
        <v>0.375</v>
      </c>
      <c r="J2773" s="4"/>
      <c r="K2773" s="4"/>
      <c r="L2773" s="4"/>
      <c r="M2773" s="4"/>
      <c r="N2773" s="4"/>
      <c r="O2773" s="4"/>
      <c r="P2773" s="4"/>
    </row>
    <row r="2774" spans="1:16" x14ac:dyDescent="0.25">
      <c r="A2774" s="4" t="s">
        <v>236</v>
      </c>
      <c r="B2774" s="3">
        <v>0.3347222222222222</v>
      </c>
      <c r="C2774" s="3">
        <v>0.55625000000000002</v>
      </c>
      <c r="D2774" s="3">
        <v>0.59652777777777777</v>
      </c>
      <c r="E2774" s="3">
        <v>0.75069444444444444</v>
      </c>
      <c r="F2774" s="4"/>
      <c r="G2774" s="4"/>
      <c r="H2774" s="3">
        <v>0.375</v>
      </c>
      <c r="I2774" s="3">
        <v>0.375</v>
      </c>
      <c r="J2774" s="4"/>
      <c r="K2774" s="4"/>
      <c r="L2774" s="4"/>
      <c r="M2774" s="4"/>
      <c r="N2774" s="4"/>
      <c r="O2774" s="4"/>
      <c r="P2774" s="4"/>
    </row>
    <row r="2775" spans="1:16" x14ac:dyDescent="0.25">
      <c r="A2775" s="4" t="s">
        <v>237</v>
      </c>
      <c r="B2775" s="3">
        <v>0.33402777777777781</v>
      </c>
      <c r="C2775" s="3">
        <v>0.56111111111111112</v>
      </c>
      <c r="D2775" s="3">
        <v>0.60069444444444442</v>
      </c>
      <c r="E2775" s="3">
        <v>0.75</v>
      </c>
      <c r="F2775" s="4"/>
      <c r="G2775" s="4"/>
      <c r="H2775" s="3">
        <v>0.375</v>
      </c>
      <c r="I2775" s="3">
        <v>0.375</v>
      </c>
      <c r="J2775" s="4"/>
      <c r="K2775" s="4"/>
      <c r="L2775" s="4"/>
      <c r="M2775" s="4"/>
      <c r="N2775" s="4"/>
      <c r="O2775" s="4"/>
      <c r="P2775" s="4"/>
    </row>
    <row r="2776" spans="1:16" x14ac:dyDescent="0.25">
      <c r="A2776" s="4" t="s">
        <v>238</v>
      </c>
      <c r="B2776" s="3">
        <v>0.35416666666666669</v>
      </c>
      <c r="C2776" s="3">
        <v>0.56874999999999998</v>
      </c>
      <c r="D2776" s="3">
        <v>0.60763888888888895</v>
      </c>
      <c r="E2776" s="3">
        <v>0.7729166666666667</v>
      </c>
      <c r="F2776" s="4"/>
      <c r="G2776" s="4"/>
      <c r="H2776" s="3">
        <v>0.375</v>
      </c>
      <c r="I2776" s="3">
        <v>0.375</v>
      </c>
      <c r="J2776" s="4"/>
      <c r="K2776" s="4"/>
      <c r="L2776" s="4"/>
      <c r="M2776" s="4"/>
      <c r="N2776" s="4"/>
      <c r="O2776" s="4"/>
      <c r="P2776" s="4"/>
    </row>
    <row r="2777" spans="1:16" x14ac:dyDescent="0.25">
      <c r="A2777" s="4" t="s">
        <v>239</v>
      </c>
      <c r="B2777" s="4" t="s">
        <v>25</v>
      </c>
      <c r="C2777" s="4" t="s">
        <v>25</v>
      </c>
      <c r="D2777" s="4" t="s">
        <v>25</v>
      </c>
      <c r="E2777" s="4" t="s">
        <v>25</v>
      </c>
      <c r="F2777" s="4" t="s">
        <v>25</v>
      </c>
      <c r="G2777" s="4" t="s">
        <v>25</v>
      </c>
      <c r="H2777" s="4"/>
      <c r="I2777" s="4"/>
      <c r="J2777" s="4"/>
      <c r="K2777" s="4"/>
      <c r="L2777" s="4"/>
      <c r="M2777" s="4"/>
      <c r="N2777" s="4"/>
      <c r="O2777" s="4"/>
      <c r="P2777" s="4"/>
    </row>
    <row r="2778" spans="1:16" x14ac:dyDescent="0.25">
      <c r="A2778" s="4" t="s">
        <v>240</v>
      </c>
      <c r="B2778" s="4" t="s">
        <v>25</v>
      </c>
      <c r="C2778" s="4" t="s">
        <v>25</v>
      </c>
      <c r="D2778" s="4" t="s">
        <v>25</v>
      </c>
      <c r="E2778" s="4" t="s">
        <v>25</v>
      </c>
      <c r="F2778" s="4" t="s">
        <v>25</v>
      </c>
      <c r="G2778" s="4" t="s">
        <v>25</v>
      </c>
      <c r="H2778" s="4"/>
      <c r="I2778" s="4"/>
      <c r="J2778" s="4"/>
      <c r="K2778" s="4"/>
      <c r="L2778" s="4"/>
      <c r="M2778" s="4"/>
      <c r="N2778" s="4"/>
      <c r="O2778" s="4"/>
      <c r="P2778" s="4"/>
    </row>
    <row r="2779" spans="1:16" x14ac:dyDescent="0.25">
      <c r="A2779" s="4" t="s">
        <v>241</v>
      </c>
      <c r="B2779" s="3">
        <v>0.33194444444444443</v>
      </c>
      <c r="C2779" s="3">
        <v>0.55555555555555558</v>
      </c>
      <c r="D2779" s="4" t="s">
        <v>314</v>
      </c>
      <c r="E2779" s="3">
        <v>0.70833333333333337</v>
      </c>
      <c r="F2779" s="4"/>
      <c r="G2779" s="4"/>
      <c r="H2779" s="3">
        <v>0.33333333333333331</v>
      </c>
      <c r="I2779" s="3">
        <v>0.33333333333333331</v>
      </c>
      <c r="J2779" s="4"/>
      <c r="K2779" s="4"/>
      <c r="L2779" s="4"/>
      <c r="M2779" s="4"/>
      <c r="N2779" s="4"/>
      <c r="O2779" s="4"/>
      <c r="P2779" s="4"/>
    </row>
    <row r="2780" spans="1:16" x14ac:dyDescent="0.25">
      <c r="A2780" s="4" t="s">
        <v>242</v>
      </c>
      <c r="B2780" s="3">
        <v>0.33124999999999999</v>
      </c>
      <c r="C2780" s="3">
        <v>0.57152777777777775</v>
      </c>
      <c r="D2780" s="3">
        <v>0.61319444444444449</v>
      </c>
      <c r="E2780" s="3">
        <v>0.75</v>
      </c>
      <c r="F2780" s="4"/>
      <c r="G2780" s="4"/>
      <c r="H2780" s="3">
        <v>0.375</v>
      </c>
      <c r="I2780" s="3">
        <v>0.375</v>
      </c>
      <c r="J2780" s="4"/>
      <c r="K2780" s="4"/>
      <c r="L2780" s="4"/>
      <c r="M2780" s="4"/>
      <c r="N2780" s="4"/>
      <c r="O2780" s="4"/>
      <c r="P2780" s="4"/>
    </row>
    <row r="2781" spans="1:16" x14ac:dyDescent="0.25">
      <c r="A2781" s="4" t="s">
        <v>243</v>
      </c>
      <c r="B2781" s="3">
        <v>0.35486111111111113</v>
      </c>
      <c r="C2781" s="3">
        <v>0.56388888888888888</v>
      </c>
      <c r="D2781" s="3">
        <v>0.60555555555555551</v>
      </c>
      <c r="E2781" s="3">
        <v>0.7729166666666667</v>
      </c>
      <c r="F2781" s="4"/>
      <c r="G2781" s="4"/>
      <c r="H2781" s="3">
        <v>0.375</v>
      </c>
      <c r="I2781" s="3">
        <v>0.375</v>
      </c>
      <c r="J2781" s="4"/>
      <c r="K2781" s="4"/>
      <c r="L2781" s="4"/>
      <c r="M2781" s="4"/>
      <c r="N2781" s="4"/>
      <c r="O2781" s="4"/>
      <c r="P2781" s="4"/>
    </row>
    <row r="2782" spans="1:16" x14ac:dyDescent="0.25">
      <c r="A2782" s="4" t="s">
        <v>244</v>
      </c>
      <c r="B2782" s="4" t="s">
        <v>265</v>
      </c>
      <c r="C2782" s="4" t="s">
        <v>265</v>
      </c>
      <c r="D2782" s="4" t="s">
        <v>265</v>
      </c>
      <c r="E2782" s="4" t="s">
        <v>265</v>
      </c>
      <c r="F2782" s="4"/>
      <c r="G2782" s="4"/>
      <c r="H2782" s="4"/>
      <c r="I2782" s="4"/>
      <c r="J2782" s="4"/>
      <c r="K2782" s="4"/>
      <c r="L2782" s="4"/>
      <c r="M2782" s="4"/>
      <c r="N2782" s="4"/>
      <c r="O2782" s="4"/>
      <c r="P2782" s="4"/>
    </row>
    <row r="2783" spans="1:16" x14ac:dyDescent="0.25">
      <c r="A2783" s="4" t="s">
        <v>245</v>
      </c>
      <c r="B2783" s="4" t="s">
        <v>265</v>
      </c>
      <c r="C2783" s="4" t="s">
        <v>265</v>
      </c>
      <c r="D2783" s="4" t="s">
        <v>265</v>
      </c>
      <c r="E2783" s="4" t="s">
        <v>265</v>
      </c>
      <c r="F2783" s="4"/>
      <c r="G2783" s="4"/>
      <c r="H2783" s="3">
        <v>0.375</v>
      </c>
      <c r="I2783" s="3">
        <v>0.375</v>
      </c>
      <c r="J2783" s="3">
        <v>0.375</v>
      </c>
      <c r="K2783" s="4"/>
      <c r="L2783" s="4"/>
      <c r="M2783" s="4"/>
      <c r="N2783" s="4"/>
      <c r="O2783" s="4"/>
      <c r="P2783" s="4"/>
    </row>
    <row r="2784" spans="1:16" x14ac:dyDescent="0.25">
      <c r="A2784" s="4" t="s">
        <v>246</v>
      </c>
      <c r="B2784" s="4" t="s">
        <v>25</v>
      </c>
      <c r="C2784" s="4" t="s">
        <v>25</v>
      </c>
      <c r="D2784" s="4" t="s">
        <v>25</v>
      </c>
      <c r="E2784" s="4" t="s">
        <v>25</v>
      </c>
      <c r="F2784" s="4" t="s">
        <v>25</v>
      </c>
      <c r="G2784" s="4" t="s">
        <v>25</v>
      </c>
      <c r="H2784" s="4"/>
      <c r="I2784" s="4"/>
      <c r="J2784" s="4"/>
      <c r="K2784" s="4"/>
      <c r="L2784" s="4"/>
      <c r="M2784" s="4"/>
      <c r="N2784" s="4"/>
      <c r="O2784" s="4"/>
      <c r="P2784" s="4"/>
    </row>
    <row r="2785" spans="1:16" x14ac:dyDescent="0.25">
      <c r="A2785" s="4" t="s">
        <v>247</v>
      </c>
      <c r="B2785" s="4" t="s">
        <v>25</v>
      </c>
      <c r="C2785" s="4" t="s">
        <v>25</v>
      </c>
      <c r="D2785" s="4" t="s">
        <v>25</v>
      </c>
      <c r="E2785" s="4" t="s">
        <v>25</v>
      </c>
      <c r="F2785" s="4" t="s">
        <v>25</v>
      </c>
      <c r="G2785" s="4" t="s">
        <v>25</v>
      </c>
      <c r="H2785" s="4"/>
      <c r="I2785" s="4"/>
      <c r="J2785" s="4"/>
      <c r="K2785" s="4"/>
      <c r="L2785" s="4"/>
      <c r="M2785" s="4"/>
      <c r="N2785" s="4"/>
      <c r="O2785" s="4"/>
      <c r="P2785" s="4"/>
    </row>
    <row r="2786" spans="1:16" x14ac:dyDescent="0.25">
      <c r="A2786" s="4" t="s">
        <v>248</v>
      </c>
      <c r="B2786" s="3">
        <v>0.34166666666666662</v>
      </c>
      <c r="C2786" s="3">
        <v>0.58402777777777781</v>
      </c>
      <c r="D2786" s="3">
        <v>0.6166666666666667</v>
      </c>
      <c r="E2786" s="3">
        <v>0.7104166666666667</v>
      </c>
      <c r="F2786" s="4"/>
      <c r="G2786" s="4"/>
      <c r="H2786" s="3">
        <v>0.33333333333333331</v>
      </c>
      <c r="I2786" s="3">
        <v>0.33333333333333331</v>
      </c>
      <c r="J2786" s="4"/>
      <c r="K2786" s="4"/>
      <c r="L2786" s="4"/>
      <c r="M2786" s="4"/>
      <c r="N2786" s="4"/>
      <c r="O2786" s="4"/>
      <c r="P2786" s="4"/>
    </row>
    <row r="2787" spans="1:16" x14ac:dyDescent="0.25">
      <c r="A2787" s="4" t="s">
        <v>249</v>
      </c>
      <c r="B2787" s="3">
        <v>0.3347222222222222</v>
      </c>
      <c r="C2787" s="3">
        <v>0.57152777777777775</v>
      </c>
      <c r="D2787" s="4" t="s">
        <v>52</v>
      </c>
      <c r="E2787" s="4" t="s">
        <v>52</v>
      </c>
      <c r="F2787" s="4"/>
      <c r="G2787" s="4"/>
      <c r="H2787" s="3">
        <v>0.375</v>
      </c>
      <c r="I2787" s="3">
        <v>0.375</v>
      </c>
      <c r="J2787" s="3">
        <v>0.1388888888888889</v>
      </c>
      <c r="K2787" s="4"/>
      <c r="L2787" s="4"/>
      <c r="M2787" s="4"/>
      <c r="N2787" s="4"/>
      <c r="O2787" s="4"/>
      <c r="P2787" s="4"/>
    </row>
    <row r="2788" spans="1:16" x14ac:dyDescent="0.25">
      <c r="A2788" s="4" t="s">
        <v>251</v>
      </c>
      <c r="B2788" s="4" t="s">
        <v>52</v>
      </c>
      <c r="C2788" s="4" t="s">
        <v>52</v>
      </c>
      <c r="D2788" s="4" t="s">
        <v>52</v>
      </c>
      <c r="E2788" s="4" t="s">
        <v>52</v>
      </c>
      <c r="F2788" s="4"/>
      <c r="G2788" s="4"/>
      <c r="H2788" s="3">
        <v>0.375</v>
      </c>
      <c r="I2788" s="3">
        <v>0.375</v>
      </c>
      <c r="J2788" s="3">
        <v>0.375</v>
      </c>
      <c r="K2788" s="4"/>
      <c r="L2788" s="4"/>
      <c r="M2788" s="4"/>
      <c r="N2788" s="4"/>
      <c r="O2788" s="4"/>
      <c r="P2788" s="4"/>
    </row>
    <row r="2789" spans="1:16" x14ac:dyDescent="0.25">
      <c r="A2789" s="4" t="s">
        <v>256</v>
      </c>
      <c r="B2789" s="4" t="s">
        <v>52</v>
      </c>
      <c r="C2789" s="4" t="s">
        <v>52</v>
      </c>
      <c r="D2789" s="4" t="s">
        <v>52</v>
      </c>
      <c r="E2789" s="4" t="s">
        <v>52</v>
      </c>
      <c r="F2789" s="4"/>
      <c r="G2789" s="4"/>
      <c r="H2789" s="3">
        <v>0.375</v>
      </c>
      <c r="I2789" s="3">
        <v>0.375</v>
      </c>
      <c r="J2789" s="3">
        <v>0.375</v>
      </c>
      <c r="K2789" s="4"/>
      <c r="L2789" s="4"/>
      <c r="M2789" s="4"/>
      <c r="N2789" s="4"/>
      <c r="O2789" s="4"/>
      <c r="P2789" s="4"/>
    </row>
    <row r="2790" spans="1:16" x14ac:dyDescent="0.25">
      <c r="A2790" s="4" t="s">
        <v>259</v>
      </c>
      <c r="B2790" s="4" t="s">
        <v>52</v>
      </c>
      <c r="C2790" s="4" t="s">
        <v>52</v>
      </c>
      <c r="D2790" s="3">
        <v>0.57500000000000007</v>
      </c>
      <c r="E2790" s="3">
        <v>0.7715277777777777</v>
      </c>
      <c r="F2790" s="4"/>
      <c r="G2790" s="4"/>
      <c r="H2790" s="3">
        <v>0.375</v>
      </c>
      <c r="I2790" s="3">
        <v>0.375</v>
      </c>
      <c r="J2790" s="3">
        <v>0.17847222222222223</v>
      </c>
      <c r="K2790" s="4"/>
      <c r="L2790" s="4"/>
      <c r="M2790" s="4"/>
      <c r="N2790" s="4"/>
      <c r="O2790" s="4"/>
      <c r="P2790" s="4"/>
    </row>
    <row r="2791" spans="1:16" x14ac:dyDescent="0.25">
      <c r="A2791" s="4" t="s">
        <v>260</v>
      </c>
      <c r="B2791" s="4" t="s">
        <v>25</v>
      </c>
      <c r="C2791" s="4" t="s">
        <v>25</v>
      </c>
      <c r="D2791" s="4" t="s">
        <v>25</v>
      </c>
      <c r="E2791" s="4" t="s">
        <v>25</v>
      </c>
      <c r="F2791" s="4" t="s">
        <v>25</v>
      </c>
      <c r="G2791" s="4" t="s">
        <v>25</v>
      </c>
      <c r="H2791" s="4"/>
      <c r="I2791" s="4"/>
      <c r="J2791" s="4"/>
      <c r="K2791" s="4"/>
      <c r="L2791" s="4"/>
      <c r="M2791" s="4"/>
      <c r="N2791" s="4"/>
      <c r="O2791" s="4"/>
      <c r="P2791" s="4"/>
    </row>
    <row r="2792" spans="1:16" x14ac:dyDescent="0.25">
      <c r="A2792" s="4" t="s">
        <v>261</v>
      </c>
      <c r="B2792" s="4" t="s">
        <v>25</v>
      </c>
      <c r="C2792" s="4" t="s">
        <v>25</v>
      </c>
      <c r="D2792" s="4" t="s">
        <v>25</v>
      </c>
      <c r="E2792" s="4" t="s">
        <v>25</v>
      </c>
      <c r="F2792" s="4" t="s">
        <v>25</v>
      </c>
      <c r="G2792" s="4" t="s">
        <v>25</v>
      </c>
      <c r="H2792" s="4"/>
      <c r="I2792" s="4"/>
      <c r="J2792" s="4"/>
      <c r="K2792" s="4"/>
      <c r="L2792" s="4"/>
      <c r="M2792" s="4"/>
      <c r="N2792" s="4"/>
      <c r="O2792" s="4"/>
      <c r="P2792" s="4"/>
    </row>
    <row r="2793" spans="1:16" x14ac:dyDescent="0.25">
      <c r="A2793" s="4" t="s">
        <v>262</v>
      </c>
      <c r="B2793" s="3">
        <v>0.35347222222222219</v>
      </c>
      <c r="C2793" s="3">
        <v>0.5805555555555556</v>
      </c>
      <c r="D2793" s="3">
        <v>0.60277777777777775</v>
      </c>
      <c r="E2793" s="3">
        <v>0.70833333333333337</v>
      </c>
      <c r="F2793" s="4"/>
      <c r="G2793" s="4"/>
      <c r="H2793" s="3">
        <v>0.33333333333333331</v>
      </c>
      <c r="I2793" s="3">
        <v>0.33333333333333331</v>
      </c>
      <c r="J2793" s="4"/>
      <c r="K2793" s="4"/>
      <c r="L2793" s="4"/>
      <c r="M2793" s="4"/>
      <c r="N2793" s="4"/>
      <c r="O2793" s="4"/>
      <c r="P2793" s="4"/>
    </row>
    <row r="2794" spans="1:16" x14ac:dyDescent="0.25">
      <c r="A2794" s="4" t="s">
        <v>263</v>
      </c>
      <c r="B2794" s="3">
        <v>0.32708333333333334</v>
      </c>
      <c r="C2794" s="3">
        <v>0.53819444444444442</v>
      </c>
      <c r="D2794" s="3">
        <v>0.57847222222222217</v>
      </c>
      <c r="E2794" s="3">
        <v>0.75069444444444444</v>
      </c>
      <c r="F2794" s="4"/>
      <c r="G2794" s="4"/>
      <c r="H2794" s="3">
        <v>0.375</v>
      </c>
      <c r="I2794" s="3">
        <v>0.375</v>
      </c>
      <c r="J2794" s="4"/>
      <c r="K2794" s="4"/>
      <c r="L2794" s="4"/>
      <c r="M2794" s="4"/>
      <c r="N2794" s="4"/>
      <c r="O2794" s="4"/>
      <c r="P2794" s="3">
        <v>7.6388888888888886E-3</v>
      </c>
    </row>
    <row r="2795" spans="1:16" x14ac:dyDescent="0.25">
      <c r="A2795" s="4" t="s">
        <v>264</v>
      </c>
      <c r="B2795" s="3">
        <v>0.34722222222222227</v>
      </c>
      <c r="C2795" s="3">
        <v>0.50416666666666665</v>
      </c>
      <c r="D2795" s="3">
        <v>0.54513888888888895</v>
      </c>
      <c r="E2795" s="3">
        <v>0.76388888888888884</v>
      </c>
      <c r="F2795" s="4"/>
      <c r="G2795" s="4"/>
      <c r="H2795" s="3">
        <v>0.375</v>
      </c>
      <c r="I2795" s="3">
        <v>0.375</v>
      </c>
      <c r="J2795" s="4"/>
      <c r="K2795" s="4"/>
      <c r="L2795" s="4"/>
      <c r="M2795" s="4"/>
      <c r="N2795" s="4"/>
      <c r="O2795" s="4"/>
      <c r="P2795" s="4"/>
    </row>
    <row r="2797" spans="1:16" x14ac:dyDescent="0.25">
      <c r="A2797" s="7" t="s">
        <v>45</v>
      </c>
    </row>
    <row r="2800" spans="1:16" x14ac:dyDescent="0.25">
      <c r="A2800" s="7" t="s">
        <v>46</v>
      </c>
    </row>
    <row r="2801" spans="1:6" x14ac:dyDescent="0.25">
      <c r="A2801" s="7" t="s">
        <v>139</v>
      </c>
      <c r="F2801" s="7" t="s">
        <v>47</v>
      </c>
    </row>
    <row r="2802" spans="1:6" x14ac:dyDescent="0.25">
      <c r="F2802" s="7"/>
    </row>
  </sheetData>
  <pageMargins left="0.7" right="0.7" top="0.75" bottom="0.75" header="0.3" footer="0.3"/>
  <pageSetup paperSize="9" scale="10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3"/>
  <dimension ref="A1:AC52"/>
  <sheetViews>
    <sheetView workbookViewId="0">
      <pane ySplit="1" topLeftCell="A2" activePane="bottomLeft" state="frozen"/>
      <selection pane="bottomLeft" activeCell="A2" sqref="A2:AC1582"/>
    </sheetView>
  </sheetViews>
  <sheetFormatPr defaultRowHeight="15" x14ac:dyDescent="0.25"/>
  <sheetData>
    <row r="1" spans="1:29" s="1" customFormat="1" x14ac:dyDescent="0.25">
      <c r="A1" s="5" t="s">
        <v>217</v>
      </c>
      <c r="B1" s="5" t="s">
        <v>213</v>
      </c>
      <c r="C1" s="5" t="s">
        <v>26</v>
      </c>
      <c r="D1" s="5" t="s">
        <v>216</v>
      </c>
      <c r="E1" s="54"/>
      <c r="F1" s="5" t="s">
        <v>33</v>
      </c>
      <c r="G1" s="5" t="s">
        <v>34</v>
      </c>
      <c r="H1" s="5" t="s">
        <v>35</v>
      </c>
      <c r="I1" s="5" t="s">
        <v>36</v>
      </c>
      <c r="J1" s="5" t="s">
        <v>37</v>
      </c>
      <c r="K1" s="5" t="s">
        <v>38</v>
      </c>
      <c r="L1" s="5" t="s">
        <v>39</v>
      </c>
      <c r="M1" s="5" t="s">
        <v>214</v>
      </c>
      <c r="N1" s="5" t="s">
        <v>41</v>
      </c>
      <c r="O1" s="5" t="s">
        <v>40</v>
      </c>
      <c r="P1" s="5" t="s">
        <v>215</v>
      </c>
      <c r="R1" s="1" t="s">
        <v>7</v>
      </c>
      <c r="S1" s="1" t="s">
        <v>218</v>
      </c>
      <c r="T1" s="1" t="s">
        <v>142</v>
      </c>
      <c r="U1" s="1" t="s">
        <v>143</v>
      </c>
      <c r="V1" s="1" t="s">
        <v>141</v>
      </c>
      <c r="W1" s="1" t="s">
        <v>144</v>
      </c>
      <c r="X1" s="1" t="s">
        <v>215</v>
      </c>
      <c r="Z1" s="1">
        <v>204</v>
      </c>
      <c r="AA1" s="1">
        <v>988</v>
      </c>
      <c r="AB1" s="1">
        <v>203</v>
      </c>
      <c r="AC1" s="1">
        <v>200</v>
      </c>
    </row>
    <row r="2" spans="1:29" x14ac:dyDescent="0.25">
      <c r="T2" s="56"/>
      <c r="U2" s="56"/>
      <c r="V2" s="56"/>
      <c r="X2" s="56"/>
      <c r="Z2" s="56"/>
      <c r="AA2" s="56"/>
      <c r="AB2" s="56"/>
      <c r="AC2" s="56"/>
    </row>
    <row r="3" spans="1:29" x14ac:dyDescent="0.25">
      <c r="T3" s="56"/>
      <c r="U3" s="56"/>
      <c r="V3" s="56"/>
      <c r="X3" s="56"/>
      <c r="Z3" s="56"/>
      <c r="AA3" s="56"/>
      <c r="AB3" s="56"/>
      <c r="AC3" s="56"/>
    </row>
    <row r="4" spans="1:29" x14ac:dyDescent="0.25">
      <c r="T4" s="56"/>
      <c r="U4" s="56"/>
      <c r="V4" s="56"/>
      <c r="X4" s="56"/>
      <c r="Z4" s="56"/>
      <c r="AA4" s="56"/>
      <c r="AB4" s="56"/>
      <c r="AC4" s="56"/>
    </row>
    <row r="5" spans="1:29" x14ac:dyDescent="0.25">
      <c r="T5" s="56"/>
      <c r="U5" s="56"/>
      <c r="V5" s="56"/>
      <c r="X5" s="56"/>
      <c r="Z5" s="56"/>
      <c r="AA5" s="56"/>
      <c r="AB5" s="56"/>
      <c r="AC5" s="56"/>
    </row>
    <row r="6" spans="1:29" x14ac:dyDescent="0.25">
      <c r="T6" s="56"/>
      <c r="U6" s="56"/>
      <c r="V6" s="56"/>
      <c r="X6" s="56"/>
      <c r="Z6" s="56"/>
      <c r="AA6" s="56"/>
      <c r="AB6" s="56"/>
      <c r="AC6" s="56"/>
    </row>
    <row r="7" spans="1:29" x14ac:dyDescent="0.25">
      <c r="T7" s="56"/>
      <c r="U7" s="56"/>
      <c r="V7" s="56"/>
      <c r="X7" s="56"/>
      <c r="Z7" s="56"/>
      <c r="AA7" s="56"/>
      <c r="AB7" s="56"/>
      <c r="AC7" s="56"/>
    </row>
    <row r="8" spans="1:29" x14ac:dyDescent="0.25">
      <c r="T8" s="56"/>
      <c r="U8" s="56"/>
      <c r="V8" s="56"/>
      <c r="X8" s="56"/>
      <c r="Z8" s="56"/>
      <c r="AA8" s="56"/>
      <c r="AB8" s="56"/>
      <c r="AC8" s="56"/>
    </row>
    <row r="9" spans="1:29" x14ac:dyDescent="0.25">
      <c r="T9" s="56"/>
      <c r="U9" s="56"/>
      <c r="V9" s="56"/>
      <c r="X9" s="56"/>
      <c r="Z9" s="56"/>
      <c r="AA9" s="56"/>
      <c r="AB9" s="56"/>
      <c r="AC9" s="56"/>
    </row>
    <row r="10" spans="1:29" x14ac:dyDescent="0.25">
      <c r="T10" s="56"/>
      <c r="U10" s="56"/>
      <c r="V10" s="56"/>
      <c r="X10" s="56"/>
      <c r="Z10" s="56"/>
      <c r="AA10" s="56"/>
      <c r="AB10" s="56"/>
      <c r="AC10" s="56"/>
    </row>
    <row r="11" spans="1:29" x14ac:dyDescent="0.25">
      <c r="T11" s="56"/>
      <c r="U11" s="56"/>
      <c r="V11" s="56"/>
      <c r="X11" s="56"/>
      <c r="Z11" s="56"/>
      <c r="AA11" s="56"/>
      <c r="AB11" s="56"/>
      <c r="AC11" s="56"/>
    </row>
    <row r="12" spans="1:29" x14ac:dyDescent="0.25">
      <c r="T12" s="56"/>
      <c r="U12" s="56"/>
      <c r="V12" s="56"/>
      <c r="X12" s="56"/>
      <c r="Z12" s="56"/>
      <c r="AA12" s="56"/>
      <c r="AB12" s="56"/>
      <c r="AC12" s="56"/>
    </row>
    <row r="13" spans="1:29" x14ac:dyDescent="0.25">
      <c r="T13" s="56"/>
      <c r="U13" s="56"/>
      <c r="V13" s="56"/>
      <c r="X13" s="56"/>
      <c r="Z13" s="56"/>
      <c r="AA13" s="56"/>
      <c r="AB13" s="56"/>
      <c r="AC13" s="56"/>
    </row>
    <row r="14" spans="1:29" x14ac:dyDescent="0.25">
      <c r="T14" s="56"/>
      <c r="U14" s="56"/>
      <c r="V14" s="56"/>
      <c r="X14" s="56"/>
      <c r="Z14" s="56"/>
      <c r="AA14" s="56"/>
      <c r="AB14" s="56"/>
      <c r="AC14" s="56"/>
    </row>
    <row r="15" spans="1:29" x14ac:dyDescent="0.25">
      <c r="T15" s="56"/>
      <c r="U15" s="56"/>
      <c r="V15" s="56"/>
      <c r="X15" s="56"/>
      <c r="Z15" s="56"/>
      <c r="AA15" s="56"/>
      <c r="AB15" s="56"/>
      <c r="AC15" s="56"/>
    </row>
    <row r="16" spans="1:29" x14ac:dyDescent="0.25">
      <c r="T16" s="56"/>
      <c r="U16" s="56"/>
      <c r="V16" s="56"/>
      <c r="X16" s="56"/>
      <c r="Z16" s="56"/>
      <c r="AA16" s="56"/>
      <c r="AB16" s="56"/>
      <c r="AC16" s="56"/>
    </row>
    <row r="17" spans="20:29" x14ac:dyDescent="0.25">
      <c r="T17" s="56"/>
      <c r="U17" s="56"/>
      <c r="V17" s="56"/>
      <c r="X17" s="56"/>
      <c r="Z17" s="56"/>
      <c r="AA17" s="56"/>
      <c r="AB17" s="56"/>
      <c r="AC17" s="56"/>
    </row>
    <row r="18" spans="20:29" x14ac:dyDescent="0.25">
      <c r="T18" s="56"/>
      <c r="U18" s="56"/>
      <c r="V18" s="56"/>
      <c r="X18" s="56"/>
      <c r="Z18" s="56"/>
      <c r="AA18" s="56"/>
      <c r="AB18" s="56"/>
      <c r="AC18" s="56"/>
    </row>
    <row r="19" spans="20:29" x14ac:dyDescent="0.25">
      <c r="T19" s="56"/>
      <c r="U19" s="56"/>
      <c r="V19" s="56"/>
      <c r="X19" s="56"/>
      <c r="Z19" s="56"/>
      <c r="AA19" s="56"/>
      <c r="AB19" s="56"/>
      <c r="AC19" s="56"/>
    </row>
    <row r="20" spans="20:29" x14ac:dyDescent="0.25">
      <c r="T20" s="56"/>
      <c r="U20" s="56"/>
      <c r="V20" s="56"/>
      <c r="X20" s="56"/>
      <c r="Z20" s="56"/>
      <c r="AA20" s="56"/>
      <c r="AB20" s="56"/>
      <c r="AC20" s="56"/>
    </row>
    <row r="21" spans="20:29" x14ac:dyDescent="0.25">
      <c r="T21" s="56"/>
      <c r="U21" s="56"/>
      <c r="V21" s="56"/>
      <c r="X21" s="56"/>
      <c r="Z21" s="56"/>
      <c r="AA21" s="56"/>
      <c r="AB21" s="56"/>
      <c r="AC21" s="56"/>
    </row>
    <row r="22" spans="20:29" x14ac:dyDescent="0.25">
      <c r="T22" s="56"/>
      <c r="U22" s="56"/>
      <c r="V22" s="56"/>
      <c r="X22" s="56"/>
      <c r="Z22" s="56"/>
      <c r="AA22" s="56"/>
      <c r="AB22" s="56"/>
      <c r="AC22" s="56"/>
    </row>
    <row r="23" spans="20:29" x14ac:dyDescent="0.25">
      <c r="T23" s="56"/>
      <c r="U23" s="56"/>
      <c r="V23" s="56"/>
      <c r="X23" s="56"/>
      <c r="Z23" s="56"/>
      <c r="AA23" s="56"/>
      <c r="AB23" s="56"/>
      <c r="AC23" s="56"/>
    </row>
    <row r="24" spans="20:29" x14ac:dyDescent="0.25">
      <c r="T24" s="56"/>
      <c r="U24" s="56"/>
      <c r="V24" s="56"/>
      <c r="X24" s="56"/>
      <c r="Z24" s="56"/>
      <c r="AA24" s="56"/>
      <c r="AB24" s="56"/>
      <c r="AC24" s="56"/>
    </row>
    <row r="25" spans="20:29" x14ac:dyDescent="0.25">
      <c r="T25" s="56"/>
      <c r="U25" s="56"/>
      <c r="V25" s="56"/>
      <c r="X25" s="56"/>
      <c r="Z25" s="56"/>
      <c r="AA25" s="56"/>
      <c r="AB25" s="56"/>
      <c r="AC25" s="56"/>
    </row>
    <row r="26" spans="20:29" x14ac:dyDescent="0.25">
      <c r="T26" s="56"/>
      <c r="U26" s="56"/>
      <c r="V26" s="56"/>
      <c r="X26" s="56"/>
      <c r="Z26" s="56"/>
      <c r="AA26" s="56"/>
      <c r="AB26" s="56"/>
      <c r="AC26" s="56"/>
    </row>
    <row r="27" spans="20:29" x14ac:dyDescent="0.25">
      <c r="T27" s="56"/>
      <c r="U27" s="56"/>
      <c r="V27" s="56"/>
      <c r="X27" s="56"/>
      <c r="Z27" s="56"/>
      <c r="AA27" s="56"/>
      <c r="AB27" s="56"/>
      <c r="AC27" s="56"/>
    </row>
    <row r="28" spans="20:29" x14ac:dyDescent="0.25">
      <c r="T28" s="56"/>
      <c r="U28" s="56"/>
      <c r="V28" s="56"/>
      <c r="X28" s="56"/>
      <c r="Z28" s="56"/>
      <c r="AA28" s="56"/>
      <c r="AB28" s="56"/>
      <c r="AC28" s="56"/>
    </row>
    <row r="29" spans="20:29" x14ac:dyDescent="0.25">
      <c r="T29" s="56"/>
      <c r="U29" s="56"/>
      <c r="V29" s="56"/>
      <c r="X29" s="56"/>
      <c r="Z29" s="56"/>
      <c r="AA29" s="56"/>
      <c r="AB29" s="56"/>
      <c r="AC29" s="56"/>
    </row>
    <row r="30" spans="20:29" x14ac:dyDescent="0.25">
      <c r="T30" s="56"/>
      <c r="U30" s="56"/>
      <c r="V30" s="56"/>
      <c r="X30" s="56"/>
      <c r="Z30" s="56"/>
      <c r="AA30" s="56"/>
      <c r="AB30" s="56"/>
      <c r="AC30" s="56"/>
    </row>
    <row r="31" spans="20:29" x14ac:dyDescent="0.25">
      <c r="T31" s="56"/>
      <c r="U31" s="56"/>
      <c r="V31" s="56"/>
      <c r="X31" s="56"/>
      <c r="Z31" s="56"/>
      <c r="AA31" s="56"/>
      <c r="AB31" s="56"/>
      <c r="AC31" s="56"/>
    </row>
    <row r="32" spans="20:29" x14ac:dyDescent="0.25">
      <c r="T32" s="56"/>
      <c r="U32" s="56"/>
      <c r="V32" s="56"/>
      <c r="X32" s="56"/>
      <c r="Z32" s="56"/>
      <c r="AA32" s="56"/>
      <c r="AB32" s="56"/>
      <c r="AC32" s="56"/>
    </row>
    <row r="33" spans="20:29" x14ac:dyDescent="0.25">
      <c r="T33" s="56"/>
      <c r="U33" s="56"/>
      <c r="V33" s="56"/>
      <c r="X33" s="56"/>
      <c r="Z33" s="56"/>
      <c r="AA33" s="56"/>
      <c r="AB33" s="56"/>
      <c r="AC33" s="56"/>
    </row>
    <row r="34" spans="20:29" x14ac:dyDescent="0.25">
      <c r="T34" s="56"/>
      <c r="U34" s="56"/>
      <c r="V34" s="56"/>
      <c r="X34" s="56"/>
      <c r="Z34" s="56"/>
      <c r="AA34" s="56"/>
      <c r="AB34" s="56"/>
      <c r="AC34" s="56"/>
    </row>
    <row r="35" spans="20:29" x14ac:dyDescent="0.25">
      <c r="T35" s="56"/>
      <c r="U35" s="56"/>
      <c r="V35" s="56"/>
      <c r="X35" s="56"/>
      <c r="Z35" s="56"/>
      <c r="AA35" s="56"/>
      <c r="AB35" s="56"/>
      <c r="AC35" s="56"/>
    </row>
    <row r="36" spans="20:29" x14ac:dyDescent="0.25">
      <c r="T36" s="56"/>
      <c r="U36" s="56"/>
      <c r="V36" s="56"/>
      <c r="X36" s="56"/>
      <c r="Z36" s="56"/>
      <c r="AA36" s="56"/>
      <c r="AB36" s="56"/>
      <c r="AC36" s="56"/>
    </row>
    <row r="37" spans="20:29" x14ac:dyDescent="0.25">
      <c r="T37" s="56"/>
      <c r="U37" s="56"/>
      <c r="V37" s="56"/>
      <c r="X37" s="56"/>
      <c r="Z37" s="56"/>
      <c r="AA37" s="56"/>
      <c r="AB37" s="56"/>
      <c r="AC37" s="56"/>
    </row>
    <row r="38" spans="20:29" x14ac:dyDescent="0.25">
      <c r="T38" s="56"/>
      <c r="U38" s="56"/>
      <c r="V38" s="56"/>
      <c r="X38" s="56"/>
      <c r="Z38" s="56"/>
      <c r="AA38" s="56"/>
      <c r="AB38" s="56"/>
      <c r="AC38" s="56"/>
    </row>
    <row r="39" spans="20:29" x14ac:dyDescent="0.25">
      <c r="T39" s="56"/>
      <c r="U39" s="56"/>
      <c r="V39" s="56"/>
      <c r="X39" s="56"/>
      <c r="Z39" s="56"/>
      <c r="AA39" s="56"/>
      <c r="AB39" s="56"/>
      <c r="AC39" s="56"/>
    </row>
    <row r="40" spans="20:29" x14ac:dyDescent="0.25">
      <c r="T40" s="56"/>
      <c r="U40" s="56"/>
      <c r="V40" s="56"/>
      <c r="X40" s="56"/>
      <c r="Z40" s="56"/>
      <c r="AA40" s="56"/>
      <c r="AB40" s="56"/>
      <c r="AC40" s="56"/>
    </row>
    <row r="41" spans="20:29" x14ac:dyDescent="0.25">
      <c r="T41" s="56"/>
      <c r="U41" s="56"/>
      <c r="V41" s="56"/>
      <c r="X41" s="56"/>
      <c r="Z41" s="56"/>
      <c r="AA41" s="56"/>
      <c r="AB41" s="56"/>
      <c r="AC41" s="56"/>
    </row>
    <row r="42" spans="20:29" x14ac:dyDescent="0.25">
      <c r="T42" s="56"/>
      <c r="U42" s="56"/>
      <c r="V42" s="56"/>
      <c r="X42" s="56"/>
      <c r="Z42" s="56"/>
      <c r="AA42" s="56"/>
      <c r="AB42" s="56"/>
      <c r="AC42" s="56"/>
    </row>
    <row r="43" spans="20:29" x14ac:dyDescent="0.25">
      <c r="T43" s="56"/>
      <c r="U43" s="56"/>
      <c r="V43" s="56"/>
      <c r="X43" s="56"/>
      <c r="Z43" s="56"/>
      <c r="AA43" s="56"/>
      <c r="AB43" s="56"/>
      <c r="AC43" s="56"/>
    </row>
    <row r="44" spans="20:29" x14ac:dyDescent="0.25">
      <c r="T44" s="56"/>
      <c r="U44" s="56"/>
      <c r="V44" s="56"/>
      <c r="X44" s="56"/>
      <c r="Z44" s="56"/>
      <c r="AA44" s="56"/>
      <c r="AB44" s="56"/>
      <c r="AC44" s="56"/>
    </row>
    <row r="45" spans="20:29" x14ac:dyDescent="0.25">
      <c r="T45" s="56"/>
      <c r="U45" s="56"/>
      <c r="V45" s="56"/>
      <c r="X45" s="56"/>
      <c r="Z45" s="56"/>
      <c r="AA45" s="56"/>
      <c r="AB45" s="56"/>
      <c r="AC45" s="56"/>
    </row>
    <row r="46" spans="20:29" x14ac:dyDescent="0.25">
      <c r="T46" s="56"/>
      <c r="U46" s="56"/>
      <c r="V46" s="56"/>
      <c r="X46" s="56"/>
      <c r="Z46" s="56"/>
      <c r="AA46" s="56"/>
      <c r="AB46" s="56"/>
      <c r="AC46" s="56"/>
    </row>
    <row r="47" spans="20:29" x14ac:dyDescent="0.25">
      <c r="T47" s="56"/>
      <c r="U47" s="56"/>
      <c r="V47" s="56"/>
      <c r="X47" s="56"/>
      <c r="Z47" s="56"/>
      <c r="AA47" s="56"/>
      <c r="AB47" s="56"/>
      <c r="AC47" s="56"/>
    </row>
    <row r="48" spans="20:29" x14ac:dyDescent="0.25">
      <c r="T48" s="56"/>
      <c r="U48" s="56"/>
      <c r="V48" s="56"/>
      <c r="X48" s="56"/>
      <c r="Z48" s="56"/>
      <c r="AA48" s="56"/>
      <c r="AB48" s="56"/>
      <c r="AC48" s="56"/>
    </row>
    <row r="49" spans="20:29" x14ac:dyDescent="0.25">
      <c r="T49" s="56"/>
      <c r="U49" s="56"/>
      <c r="V49" s="56"/>
      <c r="X49" s="56"/>
      <c r="Z49" s="56"/>
      <c r="AA49" s="56"/>
      <c r="AB49" s="56"/>
      <c r="AC49" s="56"/>
    </row>
    <row r="50" spans="20:29" x14ac:dyDescent="0.25">
      <c r="T50" s="56"/>
      <c r="U50" s="56"/>
      <c r="V50" s="56"/>
      <c r="X50" s="56"/>
      <c r="Z50" s="56"/>
      <c r="AA50" s="56"/>
      <c r="AB50" s="56"/>
      <c r="AC50" s="56"/>
    </row>
    <row r="51" spans="20:29" x14ac:dyDescent="0.25">
      <c r="T51" s="56"/>
      <c r="U51" s="56"/>
      <c r="V51" s="56"/>
      <c r="X51" s="56"/>
      <c r="Z51" s="56"/>
      <c r="AA51" s="56"/>
      <c r="AB51" s="56"/>
      <c r="AC51" s="56"/>
    </row>
    <row r="52" spans="20:29" x14ac:dyDescent="0.25">
      <c r="T52" s="56"/>
      <c r="U52" s="56"/>
      <c r="V52" s="56"/>
      <c r="X52" s="56"/>
      <c r="Z52" s="56"/>
      <c r="AA52" s="56"/>
      <c r="AB52" s="56"/>
      <c r="AC52" s="56"/>
    </row>
  </sheetData>
  <autoFilter ref="A1:L2795" xr:uid="{39B91602-B486-4D60-BA5E-1CBBBC3761CC}"/>
  <pageMargins left="0.511811024" right="0.511811024" top="0.78740157499999996" bottom="0.78740157499999996" header="0.31496062000000002" footer="0.31496062000000002"/>
  <pageSetup paperSize="9" orientation="portrait" horizontalDpi="4294967295" verticalDpi="4294967295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6"/>
  <dimension ref="H2:K205"/>
  <sheetViews>
    <sheetView workbookViewId="0">
      <selection activeCell="A8" sqref="A8"/>
    </sheetView>
  </sheetViews>
  <sheetFormatPr defaultRowHeight="15" x14ac:dyDescent="0.25"/>
  <cols>
    <col min="1" max="1" width="45.140625" bestFit="1" customWidth="1"/>
    <col min="2" max="2" width="3" bestFit="1" customWidth="1"/>
    <col min="3" max="3" width="10" bestFit="1" customWidth="1"/>
    <col min="4" max="4" width="3" bestFit="1" customWidth="1"/>
    <col min="5" max="5" width="7" bestFit="1" customWidth="1"/>
    <col min="6" max="6" width="4" bestFit="1" customWidth="1"/>
    <col min="7" max="7" width="3" bestFit="1" customWidth="1"/>
    <col min="8" max="8" width="12" style="55" bestFit="1" customWidth="1"/>
    <col min="9" max="9" width="12" bestFit="1" customWidth="1"/>
    <col min="10" max="10" width="10" bestFit="1" customWidth="1"/>
    <col min="11" max="11" width="11" bestFit="1" customWidth="1"/>
  </cols>
  <sheetData>
    <row r="2" spans="11:11" x14ac:dyDescent="0.25">
      <c r="K2" s="57"/>
    </row>
    <row r="3" spans="11:11" x14ac:dyDescent="0.25">
      <c r="K3" s="57"/>
    </row>
    <row r="4" spans="11:11" x14ac:dyDescent="0.25">
      <c r="K4" s="57"/>
    </row>
    <row r="5" spans="11:11" x14ac:dyDescent="0.25">
      <c r="K5" s="57"/>
    </row>
    <row r="6" spans="11:11" x14ac:dyDescent="0.25">
      <c r="K6" s="57"/>
    </row>
    <row r="7" spans="11:11" x14ac:dyDescent="0.25">
      <c r="K7" s="57"/>
    </row>
    <row r="8" spans="11:11" x14ac:dyDescent="0.25">
      <c r="K8" s="57"/>
    </row>
    <row r="9" spans="11:11" x14ac:dyDescent="0.25">
      <c r="K9" s="57"/>
    </row>
    <row r="10" spans="11:11" x14ac:dyDescent="0.25">
      <c r="K10" s="57"/>
    </row>
    <row r="11" spans="11:11" x14ac:dyDescent="0.25">
      <c r="K11" s="57"/>
    </row>
    <row r="12" spans="11:11" x14ac:dyDescent="0.25">
      <c r="K12" s="57"/>
    </row>
    <row r="13" spans="11:11" x14ac:dyDescent="0.25">
      <c r="K13" s="57"/>
    </row>
    <row r="14" spans="11:11" x14ac:dyDescent="0.25">
      <c r="K14" s="57"/>
    </row>
    <row r="15" spans="11:11" x14ac:dyDescent="0.25">
      <c r="K15" s="57"/>
    </row>
    <row r="16" spans="11:11" x14ac:dyDescent="0.25">
      <c r="K16" s="57"/>
    </row>
    <row r="17" spans="11:11" x14ac:dyDescent="0.25">
      <c r="K17" s="57"/>
    </row>
    <row r="18" spans="11:11" x14ac:dyDescent="0.25">
      <c r="K18" s="57"/>
    </row>
    <row r="19" spans="11:11" x14ac:dyDescent="0.25">
      <c r="K19" s="57"/>
    </row>
    <row r="20" spans="11:11" x14ac:dyDescent="0.25">
      <c r="K20" s="57"/>
    </row>
    <row r="21" spans="11:11" x14ac:dyDescent="0.25">
      <c r="K21" s="57"/>
    </row>
    <row r="22" spans="11:11" x14ac:dyDescent="0.25">
      <c r="K22" s="57"/>
    </row>
    <row r="23" spans="11:11" x14ac:dyDescent="0.25">
      <c r="K23" s="57"/>
    </row>
    <row r="24" spans="11:11" x14ac:dyDescent="0.25">
      <c r="K24" s="57"/>
    </row>
    <row r="25" spans="11:11" x14ac:dyDescent="0.25">
      <c r="K25" s="57"/>
    </row>
    <row r="26" spans="11:11" x14ac:dyDescent="0.25">
      <c r="K26" s="57"/>
    </row>
    <row r="27" spans="11:11" x14ac:dyDescent="0.25">
      <c r="K27" s="57"/>
    </row>
    <row r="28" spans="11:11" x14ac:dyDescent="0.25">
      <c r="K28" s="57"/>
    </row>
    <row r="29" spans="11:11" x14ac:dyDescent="0.25">
      <c r="K29" s="57"/>
    </row>
    <row r="30" spans="11:11" x14ac:dyDescent="0.25">
      <c r="K30" s="57"/>
    </row>
    <row r="31" spans="11:11" x14ac:dyDescent="0.25">
      <c r="K31" s="57"/>
    </row>
    <row r="32" spans="11:11" x14ac:dyDescent="0.25">
      <c r="K32" s="57"/>
    </row>
    <row r="33" spans="11:11" x14ac:dyDescent="0.25">
      <c r="K33" s="57"/>
    </row>
    <row r="34" spans="11:11" x14ac:dyDescent="0.25">
      <c r="K34" s="57"/>
    </row>
    <row r="35" spans="11:11" x14ac:dyDescent="0.25">
      <c r="K35" s="57"/>
    </row>
    <row r="36" spans="11:11" x14ac:dyDescent="0.25">
      <c r="K36" s="57"/>
    </row>
    <row r="37" spans="11:11" x14ac:dyDescent="0.25">
      <c r="K37" s="57"/>
    </row>
    <row r="38" spans="11:11" x14ac:dyDescent="0.25">
      <c r="K38" s="57"/>
    </row>
    <row r="39" spans="11:11" x14ac:dyDescent="0.25">
      <c r="K39" s="57"/>
    </row>
    <row r="40" spans="11:11" x14ac:dyDescent="0.25">
      <c r="K40" s="57"/>
    </row>
    <row r="41" spans="11:11" x14ac:dyDescent="0.25">
      <c r="K41" s="57"/>
    </row>
    <row r="42" spans="11:11" x14ac:dyDescent="0.25">
      <c r="K42" s="57"/>
    </row>
    <row r="43" spans="11:11" x14ac:dyDescent="0.25">
      <c r="K43" s="57"/>
    </row>
    <row r="44" spans="11:11" x14ac:dyDescent="0.25">
      <c r="K44" s="57"/>
    </row>
    <row r="45" spans="11:11" x14ac:dyDescent="0.25">
      <c r="K45" s="57"/>
    </row>
    <row r="46" spans="11:11" x14ac:dyDescent="0.25">
      <c r="K46" s="57"/>
    </row>
    <row r="47" spans="11:11" x14ac:dyDescent="0.25">
      <c r="K47" s="57"/>
    </row>
    <row r="48" spans="11:11" x14ac:dyDescent="0.25">
      <c r="K48" s="57"/>
    </row>
    <row r="49" spans="11:11" x14ac:dyDescent="0.25">
      <c r="K49" s="57"/>
    </row>
    <row r="50" spans="11:11" x14ac:dyDescent="0.25">
      <c r="K50" s="57"/>
    </row>
    <row r="51" spans="11:11" x14ac:dyDescent="0.25">
      <c r="K51" s="57"/>
    </row>
    <row r="52" spans="11:11" x14ac:dyDescent="0.25">
      <c r="K52" s="57"/>
    </row>
    <row r="53" spans="11:11" x14ac:dyDescent="0.25">
      <c r="K53" s="57"/>
    </row>
    <row r="54" spans="11:11" x14ac:dyDescent="0.25">
      <c r="K54" s="57"/>
    </row>
    <row r="55" spans="11:11" x14ac:dyDescent="0.25">
      <c r="K55" s="57"/>
    </row>
    <row r="56" spans="11:11" x14ac:dyDescent="0.25">
      <c r="K56" s="57"/>
    </row>
    <row r="57" spans="11:11" x14ac:dyDescent="0.25">
      <c r="K57" s="57"/>
    </row>
    <row r="58" spans="11:11" x14ac:dyDescent="0.25">
      <c r="K58" s="57"/>
    </row>
    <row r="59" spans="11:11" x14ac:dyDescent="0.25">
      <c r="K59" s="57"/>
    </row>
    <row r="60" spans="11:11" x14ac:dyDescent="0.25">
      <c r="K60" s="57"/>
    </row>
    <row r="61" spans="11:11" x14ac:dyDescent="0.25">
      <c r="K61" s="57"/>
    </row>
    <row r="62" spans="11:11" x14ac:dyDescent="0.25">
      <c r="K62" s="57"/>
    </row>
    <row r="63" spans="11:11" x14ac:dyDescent="0.25">
      <c r="K63" s="57"/>
    </row>
    <row r="64" spans="11:11" x14ac:dyDescent="0.25">
      <c r="K64" s="57"/>
    </row>
    <row r="65" spans="11:11" x14ac:dyDescent="0.25">
      <c r="K65" s="57"/>
    </row>
    <row r="66" spans="11:11" x14ac:dyDescent="0.25">
      <c r="K66" s="57"/>
    </row>
    <row r="67" spans="11:11" x14ac:dyDescent="0.25">
      <c r="K67" s="57"/>
    </row>
    <row r="68" spans="11:11" x14ac:dyDescent="0.25">
      <c r="K68" s="57"/>
    </row>
    <row r="69" spans="11:11" x14ac:dyDescent="0.25">
      <c r="K69" s="57"/>
    </row>
    <row r="70" spans="11:11" x14ac:dyDescent="0.25">
      <c r="K70" s="57"/>
    </row>
    <row r="71" spans="11:11" x14ac:dyDescent="0.25">
      <c r="K71" s="57"/>
    </row>
    <row r="72" spans="11:11" x14ac:dyDescent="0.25">
      <c r="K72" s="57"/>
    </row>
    <row r="73" spans="11:11" x14ac:dyDescent="0.25">
      <c r="K73" s="57"/>
    </row>
    <row r="74" spans="11:11" x14ac:dyDescent="0.25">
      <c r="K74" s="57"/>
    </row>
    <row r="75" spans="11:11" x14ac:dyDescent="0.25">
      <c r="K75" s="57"/>
    </row>
    <row r="76" spans="11:11" x14ac:dyDescent="0.25">
      <c r="K76" s="57"/>
    </row>
    <row r="77" spans="11:11" x14ac:dyDescent="0.25">
      <c r="K77" s="57"/>
    </row>
    <row r="78" spans="11:11" x14ac:dyDescent="0.25">
      <c r="K78" s="57"/>
    </row>
    <row r="79" spans="11:11" x14ac:dyDescent="0.25">
      <c r="K79" s="57"/>
    </row>
    <row r="80" spans="11:11" x14ac:dyDescent="0.25">
      <c r="K80" s="57"/>
    </row>
    <row r="81" spans="11:11" x14ac:dyDescent="0.25">
      <c r="K81" s="57"/>
    </row>
    <row r="82" spans="11:11" x14ac:dyDescent="0.25">
      <c r="K82" s="57"/>
    </row>
    <row r="83" spans="11:11" x14ac:dyDescent="0.25">
      <c r="K83" s="57"/>
    </row>
    <row r="84" spans="11:11" x14ac:dyDescent="0.25">
      <c r="K84" s="57"/>
    </row>
    <row r="85" spans="11:11" x14ac:dyDescent="0.25">
      <c r="K85" s="57"/>
    </row>
    <row r="86" spans="11:11" x14ac:dyDescent="0.25">
      <c r="K86" s="57"/>
    </row>
    <row r="87" spans="11:11" x14ac:dyDescent="0.25">
      <c r="K87" s="57"/>
    </row>
    <row r="88" spans="11:11" x14ac:dyDescent="0.25">
      <c r="K88" s="57"/>
    </row>
    <row r="89" spans="11:11" x14ac:dyDescent="0.25">
      <c r="K89" s="57"/>
    </row>
    <row r="90" spans="11:11" x14ac:dyDescent="0.25">
      <c r="K90" s="57"/>
    </row>
    <row r="91" spans="11:11" x14ac:dyDescent="0.25">
      <c r="K91" s="57"/>
    </row>
    <row r="92" spans="11:11" x14ac:dyDescent="0.25">
      <c r="K92" s="57"/>
    </row>
    <row r="93" spans="11:11" x14ac:dyDescent="0.25">
      <c r="K93" s="57"/>
    </row>
    <row r="94" spans="11:11" x14ac:dyDescent="0.25">
      <c r="K94" s="57"/>
    </row>
    <row r="95" spans="11:11" x14ac:dyDescent="0.25">
      <c r="K95" s="57"/>
    </row>
    <row r="96" spans="11:11" x14ac:dyDescent="0.25">
      <c r="K96" s="57"/>
    </row>
    <row r="97" spans="11:11" x14ac:dyDescent="0.25">
      <c r="K97" s="57"/>
    </row>
    <row r="98" spans="11:11" x14ac:dyDescent="0.25">
      <c r="K98" s="57"/>
    </row>
    <row r="99" spans="11:11" x14ac:dyDescent="0.25">
      <c r="K99" s="57"/>
    </row>
    <row r="100" spans="11:11" x14ac:dyDescent="0.25">
      <c r="K100" s="57"/>
    </row>
    <row r="101" spans="11:11" x14ac:dyDescent="0.25">
      <c r="K101" s="57"/>
    </row>
    <row r="102" spans="11:11" x14ac:dyDescent="0.25">
      <c r="K102" s="57"/>
    </row>
    <row r="103" spans="11:11" x14ac:dyDescent="0.25">
      <c r="K103" s="57"/>
    </row>
    <row r="104" spans="11:11" x14ac:dyDescent="0.25">
      <c r="K104" s="57"/>
    </row>
    <row r="105" spans="11:11" x14ac:dyDescent="0.25">
      <c r="K105" s="57"/>
    </row>
    <row r="106" spans="11:11" x14ac:dyDescent="0.25">
      <c r="K106" s="57"/>
    </row>
    <row r="107" spans="11:11" x14ac:dyDescent="0.25">
      <c r="K107" s="57"/>
    </row>
    <row r="108" spans="11:11" x14ac:dyDescent="0.25">
      <c r="K108" s="57"/>
    </row>
    <row r="109" spans="11:11" x14ac:dyDescent="0.25">
      <c r="K109" s="57"/>
    </row>
    <row r="110" spans="11:11" x14ac:dyDescent="0.25">
      <c r="K110" s="57"/>
    </row>
    <row r="111" spans="11:11" x14ac:dyDescent="0.25">
      <c r="K111" s="57"/>
    </row>
    <row r="112" spans="11:11" x14ac:dyDescent="0.25">
      <c r="K112" s="57"/>
    </row>
    <row r="113" spans="11:11" x14ac:dyDescent="0.25">
      <c r="K113" s="57"/>
    </row>
    <row r="114" spans="11:11" x14ac:dyDescent="0.25">
      <c r="K114" s="57"/>
    </row>
    <row r="115" spans="11:11" x14ac:dyDescent="0.25">
      <c r="K115" s="57"/>
    </row>
    <row r="116" spans="11:11" x14ac:dyDescent="0.25">
      <c r="K116" s="57"/>
    </row>
    <row r="117" spans="11:11" x14ac:dyDescent="0.25">
      <c r="K117" s="57"/>
    </row>
    <row r="118" spans="11:11" x14ac:dyDescent="0.25">
      <c r="K118" s="57"/>
    </row>
    <row r="119" spans="11:11" x14ac:dyDescent="0.25">
      <c r="K119" s="57"/>
    </row>
    <row r="120" spans="11:11" x14ac:dyDescent="0.25">
      <c r="K120" s="57"/>
    </row>
    <row r="121" spans="11:11" x14ac:dyDescent="0.25">
      <c r="K121" s="57"/>
    </row>
    <row r="122" spans="11:11" x14ac:dyDescent="0.25">
      <c r="K122" s="57"/>
    </row>
    <row r="123" spans="11:11" x14ac:dyDescent="0.25">
      <c r="K123" s="57"/>
    </row>
    <row r="124" spans="11:11" x14ac:dyDescent="0.25">
      <c r="K124" s="57"/>
    </row>
    <row r="125" spans="11:11" x14ac:dyDescent="0.25">
      <c r="K125" s="57"/>
    </row>
    <row r="126" spans="11:11" x14ac:dyDescent="0.25">
      <c r="K126" s="57"/>
    </row>
    <row r="127" spans="11:11" x14ac:dyDescent="0.25">
      <c r="K127" s="57"/>
    </row>
    <row r="128" spans="11:11" x14ac:dyDescent="0.25">
      <c r="K128" s="57"/>
    </row>
    <row r="129" spans="11:11" x14ac:dyDescent="0.25">
      <c r="K129" s="57"/>
    </row>
    <row r="130" spans="11:11" x14ac:dyDescent="0.25">
      <c r="K130" s="57"/>
    </row>
    <row r="131" spans="11:11" x14ac:dyDescent="0.25">
      <c r="K131" s="57"/>
    </row>
    <row r="132" spans="11:11" x14ac:dyDescent="0.25">
      <c r="K132" s="57"/>
    </row>
    <row r="133" spans="11:11" x14ac:dyDescent="0.25">
      <c r="K133" s="57"/>
    </row>
    <row r="134" spans="11:11" x14ac:dyDescent="0.25">
      <c r="K134" s="57"/>
    </row>
    <row r="135" spans="11:11" x14ac:dyDescent="0.25">
      <c r="K135" s="57"/>
    </row>
    <row r="136" spans="11:11" x14ac:dyDescent="0.25">
      <c r="K136" s="57"/>
    </row>
    <row r="137" spans="11:11" x14ac:dyDescent="0.25">
      <c r="K137" s="57"/>
    </row>
    <row r="138" spans="11:11" x14ac:dyDescent="0.25">
      <c r="K138" s="57"/>
    </row>
    <row r="139" spans="11:11" x14ac:dyDescent="0.25">
      <c r="K139" s="57"/>
    </row>
    <row r="140" spans="11:11" x14ac:dyDescent="0.25">
      <c r="K140" s="57"/>
    </row>
    <row r="141" spans="11:11" x14ac:dyDescent="0.25">
      <c r="K141" s="57"/>
    </row>
    <row r="142" spans="11:11" x14ac:dyDescent="0.25">
      <c r="K142" s="57"/>
    </row>
    <row r="143" spans="11:11" x14ac:dyDescent="0.25">
      <c r="K143" s="57"/>
    </row>
    <row r="144" spans="11:11" x14ac:dyDescent="0.25">
      <c r="K144" s="57"/>
    </row>
    <row r="145" spans="11:11" x14ac:dyDescent="0.25">
      <c r="K145" s="57"/>
    </row>
    <row r="146" spans="11:11" x14ac:dyDescent="0.25">
      <c r="K146" s="57"/>
    </row>
    <row r="147" spans="11:11" x14ac:dyDescent="0.25">
      <c r="K147" s="57"/>
    </row>
    <row r="148" spans="11:11" x14ac:dyDescent="0.25">
      <c r="K148" s="57"/>
    </row>
    <row r="149" spans="11:11" x14ac:dyDescent="0.25">
      <c r="K149" s="57"/>
    </row>
    <row r="150" spans="11:11" x14ac:dyDescent="0.25">
      <c r="K150" s="57"/>
    </row>
    <row r="151" spans="11:11" x14ac:dyDescent="0.25">
      <c r="K151" s="57"/>
    </row>
    <row r="152" spans="11:11" x14ac:dyDescent="0.25">
      <c r="K152" s="57"/>
    </row>
    <row r="153" spans="11:11" x14ac:dyDescent="0.25">
      <c r="K153" s="57"/>
    </row>
    <row r="154" spans="11:11" x14ac:dyDescent="0.25">
      <c r="K154" s="57"/>
    </row>
    <row r="155" spans="11:11" x14ac:dyDescent="0.25">
      <c r="K155" s="57"/>
    </row>
    <row r="156" spans="11:11" x14ac:dyDescent="0.25">
      <c r="K156" s="57"/>
    </row>
    <row r="157" spans="11:11" x14ac:dyDescent="0.25">
      <c r="K157" s="57"/>
    </row>
    <row r="158" spans="11:11" x14ac:dyDescent="0.25">
      <c r="K158" s="57"/>
    </row>
    <row r="159" spans="11:11" x14ac:dyDescent="0.25">
      <c r="K159" s="57"/>
    </row>
    <row r="160" spans="11:11" x14ac:dyDescent="0.25">
      <c r="K160" s="57"/>
    </row>
    <row r="161" spans="11:11" x14ac:dyDescent="0.25">
      <c r="K161" s="57"/>
    </row>
    <row r="162" spans="11:11" x14ac:dyDescent="0.25">
      <c r="K162" s="57"/>
    </row>
    <row r="163" spans="11:11" x14ac:dyDescent="0.25">
      <c r="K163" s="57"/>
    </row>
    <row r="164" spans="11:11" x14ac:dyDescent="0.25">
      <c r="K164" s="57"/>
    </row>
    <row r="165" spans="11:11" x14ac:dyDescent="0.25">
      <c r="K165" s="57"/>
    </row>
    <row r="166" spans="11:11" x14ac:dyDescent="0.25">
      <c r="K166" s="57"/>
    </row>
    <row r="167" spans="11:11" x14ac:dyDescent="0.25">
      <c r="K167" s="57"/>
    </row>
    <row r="168" spans="11:11" x14ac:dyDescent="0.25">
      <c r="K168" s="57"/>
    </row>
    <row r="169" spans="11:11" x14ac:dyDescent="0.25">
      <c r="K169" s="57"/>
    </row>
    <row r="170" spans="11:11" x14ac:dyDescent="0.25">
      <c r="K170" s="57"/>
    </row>
    <row r="171" spans="11:11" x14ac:dyDescent="0.25">
      <c r="K171" s="57"/>
    </row>
    <row r="172" spans="11:11" x14ac:dyDescent="0.25">
      <c r="K172" s="57"/>
    </row>
    <row r="173" spans="11:11" x14ac:dyDescent="0.25">
      <c r="K173" s="57"/>
    </row>
    <row r="174" spans="11:11" x14ac:dyDescent="0.25">
      <c r="K174" s="57"/>
    </row>
    <row r="175" spans="11:11" x14ac:dyDescent="0.25">
      <c r="K175" s="57"/>
    </row>
    <row r="176" spans="11:11" x14ac:dyDescent="0.25">
      <c r="K176" s="57"/>
    </row>
    <row r="177" spans="11:11" x14ac:dyDescent="0.25">
      <c r="K177" s="57"/>
    </row>
    <row r="178" spans="11:11" x14ac:dyDescent="0.25">
      <c r="K178" s="57"/>
    </row>
    <row r="179" spans="11:11" x14ac:dyDescent="0.25">
      <c r="K179" s="57"/>
    </row>
    <row r="180" spans="11:11" x14ac:dyDescent="0.25">
      <c r="K180" s="57"/>
    </row>
    <row r="181" spans="11:11" x14ac:dyDescent="0.25">
      <c r="K181" s="57"/>
    </row>
    <row r="182" spans="11:11" x14ac:dyDescent="0.25">
      <c r="K182" s="57"/>
    </row>
    <row r="183" spans="11:11" x14ac:dyDescent="0.25">
      <c r="K183" s="57"/>
    </row>
    <row r="184" spans="11:11" x14ac:dyDescent="0.25">
      <c r="K184" s="57"/>
    </row>
    <row r="185" spans="11:11" x14ac:dyDescent="0.25">
      <c r="K185" s="57"/>
    </row>
    <row r="186" spans="11:11" x14ac:dyDescent="0.25">
      <c r="K186" s="57"/>
    </row>
    <row r="187" spans="11:11" x14ac:dyDescent="0.25">
      <c r="K187" s="57"/>
    </row>
    <row r="188" spans="11:11" x14ac:dyDescent="0.25">
      <c r="K188" s="57"/>
    </row>
    <row r="189" spans="11:11" x14ac:dyDescent="0.25">
      <c r="K189" s="57"/>
    </row>
    <row r="190" spans="11:11" x14ac:dyDescent="0.25">
      <c r="K190" s="57"/>
    </row>
    <row r="191" spans="11:11" x14ac:dyDescent="0.25">
      <c r="K191" s="57"/>
    </row>
    <row r="192" spans="11:11" x14ac:dyDescent="0.25">
      <c r="K192" s="57"/>
    </row>
    <row r="193" spans="11:11" x14ac:dyDescent="0.25">
      <c r="K193" s="57"/>
    </row>
    <row r="194" spans="11:11" x14ac:dyDescent="0.25">
      <c r="K194" s="57"/>
    </row>
    <row r="195" spans="11:11" x14ac:dyDescent="0.25">
      <c r="K195" s="57"/>
    </row>
    <row r="196" spans="11:11" x14ac:dyDescent="0.25">
      <c r="K196" s="57"/>
    </row>
    <row r="197" spans="11:11" x14ac:dyDescent="0.25">
      <c r="K197" s="57"/>
    </row>
    <row r="198" spans="11:11" x14ac:dyDescent="0.25">
      <c r="K198" s="57"/>
    </row>
    <row r="199" spans="11:11" x14ac:dyDescent="0.25">
      <c r="K199" s="57"/>
    </row>
    <row r="200" spans="11:11" x14ac:dyDescent="0.25">
      <c r="K200" s="57"/>
    </row>
    <row r="201" spans="11:11" x14ac:dyDescent="0.25">
      <c r="K201" s="57"/>
    </row>
    <row r="202" spans="11:11" x14ac:dyDescent="0.25">
      <c r="K202" s="57"/>
    </row>
    <row r="203" spans="11:11" x14ac:dyDescent="0.25">
      <c r="K203" s="57"/>
    </row>
    <row r="204" spans="11:11" x14ac:dyDescent="0.25">
      <c r="K204" s="57"/>
    </row>
    <row r="205" spans="11:11" x14ac:dyDescent="0.25">
      <c r="K205" s="57"/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4"/>
  <dimension ref="A1:Q300"/>
  <sheetViews>
    <sheetView topLeftCell="A222" workbookViewId="0">
      <selection activeCell="A5" sqref="A5:A300"/>
    </sheetView>
  </sheetViews>
  <sheetFormatPr defaultRowHeight="15" x14ac:dyDescent="0.25"/>
  <cols>
    <col min="1" max="1" width="45.140625" bestFit="1" customWidth="1"/>
    <col min="2" max="2" width="7.5703125" style="17" customWidth="1"/>
    <col min="3" max="3" width="18.28515625" customWidth="1"/>
    <col min="4" max="4" width="38.28515625" style="16" bestFit="1" customWidth="1"/>
    <col min="5" max="5" width="3" style="17" customWidth="1"/>
    <col min="6" max="6" width="11.140625" style="17" customWidth="1"/>
    <col min="7" max="7" width="22.140625" style="17" customWidth="1"/>
    <col min="8" max="8" width="23" style="32" bestFit="1" customWidth="1"/>
    <col min="9" max="9" width="18.140625" style="17" customWidth="1"/>
    <col min="10" max="10" width="21.5703125" style="20" bestFit="1" customWidth="1"/>
    <col min="11" max="12" width="9.140625" customWidth="1"/>
    <col min="13" max="13" width="15.42578125" customWidth="1"/>
    <col min="14" max="14" width="12.7109375" customWidth="1"/>
    <col min="15" max="15" width="24" style="34" customWidth="1"/>
    <col min="16" max="16" width="19.7109375" customWidth="1"/>
    <col min="17" max="17" width="24.28515625" customWidth="1"/>
  </cols>
  <sheetData>
    <row r="1" spans="1:17" ht="15" hidden="1" customHeight="1" x14ac:dyDescent="0.25">
      <c r="A1" s="13" t="s">
        <v>187</v>
      </c>
      <c r="B1" s="14" t="s">
        <v>188</v>
      </c>
      <c r="C1" s="15"/>
      <c r="F1" s="18" t="s">
        <v>189</v>
      </c>
      <c r="G1" s="13" t="s">
        <v>190</v>
      </c>
      <c r="H1" s="19" t="s">
        <v>191</v>
      </c>
      <c r="I1" s="13" t="s">
        <v>192</v>
      </c>
      <c r="K1" s="21"/>
      <c r="L1" s="21"/>
      <c r="M1" s="21"/>
      <c r="N1" s="21"/>
      <c r="O1" s="22"/>
      <c r="P1" s="23" t="s">
        <v>193</v>
      </c>
      <c r="Q1" s="24" t="s">
        <v>194</v>
      </c>
    </row>
    <row r="2" spans="1:17" ht="30" x14ac:dyDescent="0.25">
      <c r="A2" s="25" t="s">
        <v>195</v>
      </c>
      <c r="B2" s="14"/>
      <c r="C2" s="15"/>
      <c r="D2" s="26" t="s">
        <v>196</v>
      </c>
      <c r="E2" s="27"/>
      <c r="F2" s="18"/>
      <c r="G2" s="13"/>
      <c r="H2" s="28" t="s">
        <v>197</v>
      </c>
      <c r="I2" s="13"/>
      <c r="J2" s="29" t="s">
        <v>198</v>
      </c>
      <c r="K2" s="21"/>
      <c r="L2" s="21"/>
      <c r="M2" s="21"/>
      <c r="N2" s="21"/>
      <c r="O2" s="22"/>
      <c r="P2" s="23"/>
      <c r="Q2" s="24"/>
    </row>
    <row r="3" spans="1:17" ht="15" customHeight="1" x14ac:dyDescent="0.25">
      <c r="A3" s="30" t="s">
        <v>199</v>
      </c>
      <c r="D3" s="31"/>
      <c r="J3" s="33"/>
    </row>
    <row r="4" spans="1:17" x14ac:dyDescent="0.25">
      <c r="H4" s="35"/>
    </row>
    <row r="5" spans="1:17" x14ac:dyDescent="0.25">
      <c r="A5" s="36" t="str">
        <f>B5&amp;F5&amp;G5&amp;H5&amp;I5&amp;P5&amp;Q5</f>
        <v>1000000000052017080204110000000000000000028</v>
      </c>
      <c r="B5" s="37">
        <v>10</v>
      </c>
      <c r="C5" s="32" t="s">
        <v>200</v>
      </c>
      <c r="D5" s="12">
        <v>5</v>
      </c>
      <c r="E5" s="12" t="str">
        <f t="shared" ref="E5:E68" si="0">IF(D5&gt;9,"0",IF(D5&lt;10,"00",0))</f>
        <v>00</v>
      </c>
      <c r="F5" s="12" t="str">
        <f>C5&amp;E5&amp;D5</f>
        <v>0000000005</v>
      </c>
      <c r="G5" s="38">
        <v>201708</v>
      </c>
      <c r="H5" s="39" t="s">
        <v>205</v>
      </c>
      <c r="I5" s="40" t="s">
        <v>202</v>
      </c>
      <c r="J5" s="45">
        <v>0</v>
      </c>
      <c r="K5" s="41">
        <f>J5*24</f>
        <v>0</v>
      </c>
      <c r="L5" s="42">
        <f>K5*100</f>
        <v>0</v>
      </c>
      <c r="M5" s="32" t="s">
        <v>203</v>
      </c>
      <c r="N5" s="17" t="str">
        <f>IF(L5&lt;=9,"0000",IF(AND(L5&gt;=10,L5&lt;=99),"000",IF(AND(L5&gt;=100,L5&lt;=999),"00",IF(L5&gt;=1000,"0",""))))</f>
        <v>0000</v>
      </c>
      <c r="O5" s="43" t="str">
        <f>M5&amp;N5&amp;L5</f>
        <v>000000000</v>
      </c>
      <c r="P5" s="41" t="str">
        <f>LEFT(O5,9)</f>
        <v>000000000</v>
      </c>
      <c r="Q5" s="44" t="s">
        <v>204</v>
      </c>
    </row>
    <row r="6" spans="1:17" x14ac:dyDescent="0.25">
      <c r="A6" s="36" t="str">
        <f>B6&amp;F6&amp;G6&amp;H6&amp;I6&amp;P6&amp;Q6</f>
        <v>1000000000512017080204110000000000000000028</v>
      </c>
      <c r="B6" s="37">
        <v>10</v>
      </c>
      <c r="C6" s="32" t="s">
        <v>200</v>
      </c>
      <c r="D6" s="12">
        <v>51</v>
      </c>
      <c r="E6" s="12" t="str">
        <f t="shared" si="0"/>
        <v>0</v>
      </c>
      <c r="F6" s="12" t="str">
        <f t="shared" ref="F6:F69" si="1">C6&amp;E6&amp;D6</f>
        <v>0000000051</v>
      </c>
      <c r="G6" s="38">
        <v>201708</v>
      </c>
      <c r="H6" s="39" t="s">
        <v>205</v>
      </c>
      <c r="I6" s="40" t="s">
        <v>202</v>
      </c>
      <c r="J6" s="45">
        <v>0</v>
      </c>
      <c r="K6" s="41">
        <f>J6*24</f>
        <v>0</v>
      </c>
      <c r="L6" s="42">
        <f t="shared" ref="L6:L69" si="2">K6*100</f>
        <v>0</v>
      </c>
      <c r="M6" s="32" t="s">
        <v>203</v>
      </c>
      <c r="N6" s="17" t="str">
        <f t="shared" ref="N6:N69" si="3">IF(L6&lt;=9,"0000",IF(AND(L6&gt;=10,L6&lt;=99),"000",IF(AND(L6&gt;=100,L6&lt;=999),"00",IF(L6&gt;=1000,"0",""))))</f>
        <v>0000</v>
      </c>
      <c r="O6" s="43" t="str">
        <f t="shared" ref="O6:O11" si="4">M6&amp;N6&amp;L6</f>
        <v>000000000</v>
      </c>
      <c r="P6" s="41" t="str">
        <f t="shared" ref="P6:P69" si="5">LEFT(O6,9)</f>
        <v>000000000</v>
      </c>
      <c r="Q6" s="44" t="s">
        <v>204</v>
      </c>
    </row>
    <row r="7" spans="1:17" x14ac:dyDescent="0.25">
      <c r="A7" s="36" t="str">
        <f t="shared" ref="A7:A70" si="6">B7&amp;F7&amp;G7&amp;H7&amp;I7&amp;P7&amp;Q7</f>
        <v>1000000000502017080204110000000000000000028</v>
      </c>
      <c r="B7" s="37">
        <v>10</v>
      </c>
      <c r="C7" s="32" t="s">
        <v>200</v>
      </c>
      <c r="D7" s="12">
        <v>50</v>
      </c>
      <c r="E7" s="12" t="str">
        <f t="shared" si="0"/>
        <v>0</v>
      </c>
      <c r="F7" s="12" t="str">
        <f t="shared" si="1"/>
        <v>0000000050</v>
      </c>
      <c r="G7" s="38">
        <v>201708</v>
      </c>
      <c r="H7" s="39" t="s">
        <v>205</v>
      </c>
      <c r="I7" s="40" t="s">
        <v>202</v>
      </c>
      <c r="J7" s="45">
        <v>0</v>
      </c>
      <c r="K7" s="41">
        <f>J7*24</f>
        <v>0</v>
      </c>
      <c r="L7" s="42">
        <f t="shared" si="2"/>
        <v>0</v>
      </c>
      <c r="M7" s="32" t="s">
        <v>203</v>
      </c>
      <c r="N7" s="17" t="str">
        <f t="shared" si="3"/>
        <v>0000</v>
      </c>
      <c r="O7" s="43" t="str">
        <f t="shared" si="4"/>
        <v>000000000</v>
      </c>
      <c r="P7" s="41" t="str">
        <f t="shared" si="5"/>
        <v>000000000</v>
      </c>
      <c r="Q7" s="44" t="s">
        <v>204</v>
      </c>
    </row>
    <row r="8" spans="1:17" x14ac:dyDescent="0.25">
      <c r="A8" s="36" t="str">
        <f t="shared" si="6"/>
        <v>1000000000732017080204110000002150000000028</v>
      </c>
      <c r="B8" s="37">
        <v>10</v>
      </c>
      <c r="C8" s="32" t="s">
        <v>200</v>
      </c>
      <c r="D8" s="12">
        <v>73</v>
      </c>
      <c r="E8" s="12" t="str">
        <f t="shared" si="0"/>
        <v>0</v>
      </c>
      <c r="F8" s="12" t="str">
        <f t="shared" si="1"/>
        <v>0000000073</v>
      </c>
      <c r="G8" s="38">
        <v>201708</v>
      </c>
      <c r="H8" s="39" t="s">
        <v>205</v>
      </c>
      <c r="I8" s="40" t="s">
        <v>202</v>
      </c>
      <c r="J8" s="45">
        <v>8.9583333333333334E-2</v>
      </c>
      <c r="K8" s="41">
        <f>J8*24</f>
        <v>2.15</v>
      </c>
      <c r="L8" s="42">
        <f t="shared" si="2"/>
        <v>215</v>
      </c>
      <c r="M8" s="32" t="s">
        <v>203</v>
      </c>
      <c r="N8" s="17" t="str">
        <f t="shared" si="3"/>
        <v>00</v>
      </c>
      <c r="O8" s="43" t="str">
        <f t="shared" si="4"/>
        <v>000000215</v>
      </c>
      <c r="P8" s="41" t="str">
        <f t="shared" si="5"/>
        <v>000000215</v>
      </c>
      <c r="Q8" s="44" t="s">
        <v>204</v>
      </c>
    </row>
    <row r="9" spans="1:17" x14ac:dyDescent="0.25">
      <c r="A9" s="36" t="str">
        <f t="shared" si="6"/>
        <v>1000000000332017080204110000002600000000028</v>
      </c>
      <c r="B9" s="37">
        <v>10</v>
      </c>
      <c r="C9" s="32" t="s">
        <v>200</v>
      </c>
      <c r="D9" s="12">
        <v>33</v>
      </c>
      <c r="E9" s="12" t="str">
        <f t="shared" si="0"/>
        <v>0</v>
      </c>
      <c r="F9" s="12" t="str">
        <f t="shared" si="1"/>
        <v>0000000033</v>
      </c>
      <c r="G9" s="38">
        <v>201708</v>
      </c>
      <c r="H9" s="39" t="s">
        <v>205</v>
      </c>
      <c r="I9" s="40" t="s">
        <v>202</v>
      </c>
      <c r="J9" s="45">
        <v>0.10833333333333334</v>
      </c>
      <c r="K9" s="41">
        <f t="shared" ref="K9:K72" si="7">J9*24</f>
        <v>2.6</v>
      </c>
      <c r="L9" s="42">
        <f t="shared" si="2"/>
        <v>260</v>
      </c>
      <c r="M9" s="32" t="s">
        <v>203</v>
      </c>
      <c r="N9" s="17" t="str">
        <f t="shared" si="3"/>
        <v>00</v>
      </c>
      <c r="O9" s="43" t="str">
        <f t="shared" si="4"/>
        <v>000000260</v>
      </c>
      <c r="P9" s="41" t="str">
        <f t="shared" si="5"/>
        <v>000000260</v>
      </c>
      <c r="Q9" s="44" t="s">
        <v>204</v>
      </c>
    </row>
    <row r="10" spans="1:17" x14ac:dyDescent="0.25">
      <c r="A10" s="36" t="str">
        <f t="shared" si="6"/>
        <v>1000000000722017080204110000002450000000028</v>
      </c>
      <c r="B10" s="37">
        <v>10</v>
      </c>
      <c r="C10" s="32" t="s">
        <v>200</v>
      </c>
      <c r="D10" s="12">
        <v>72</v>
      </c>
      <c r="E10" s="12" t="str">
        <f t="shared" si="0"/>
        <v>0</v>
      </c>
      <c r="F10" s="12" t="str">
        <f t="shared" si="1"/>
        <v>0000000072</v>
      </c>
      <c r="G10" s="38">
        <v>201708</v>
      </c>
      <c r="H10" s="39" t="s">
        <v>205</v>
      </c>
      <c r="I10" s="40" t="s">
        <v>202</v>
      </c>
      <c r="J10" s="45">
        <v>0.10208333333333335</v>
      </c>
      <c r="K10" s="41">
        <f t="shared" si="7"/>
        <v>2.4500000000000002</v>
      </c>
      <c r="L10" s="42">
        <f t="shared" si="2"/>
        <v>245.00000000000003</v>
      </c>
      <c r="M10" s="32" t="s">
        <v>203</v>
      </c>
      <c r="N10" s="17" t="str">
        <f t="shared" si="3"/>
        <v>00</v>
      </c>
      <c r="O10" s="43" t="str">
        <f t="shared" si="4"/>
        <v>000000245</v>
      </c>
      <c r="P10" s="41" t="str">
        <f t="shared" si="5"/>
        <v>000000245</v>
      </c>
      <c r="Q10" s="44" t="s">
        <v>204</v>
      </c>
    </row>
    <row r="11" spans="1:17" x14ac:dyDescent="0.25">
      <c r="A11" s="36" t="str">
        <f t="shared" si="6"/>
        <v>1000000000072017080204110000000000000000028</v>
      </c>
      <c r="B11" s="37">
        <v>10</v>
      </c>
      <c r="C11" s="32" t="s">
        <v>200</v>
      </c>
      <c r="D11" s="12">
        <v>7</v>
      </c>
      <c r="E11" s="12" t="str">
        <f t="shared" si="0"/>
        <v>00</v>
      </c>
      <c r="F11" s="12" t="str">
        <f t="shared" si="1"/>
        <v>0000000007</v>
      </c>
      <c r="G11" s="38">
        <v>201708</v>
      </c>
      <c r="H11" s="39" t="s">
        <v>205</v>
      </c>
      <c r="I11" s="40" t="s">
        <v>202</v>
      </c>
      <c r="J11" s="45">
        <v>0</v>
      </c>
      <c r="K11" s="41">
        <f t="shared" si="7"/>
        <v>0</v>
      </c>
      <c r="L11" s="42">
        <f t="shared" si="2"/>
        <v>0</v>
      </c>
      <c r="M11" s="32" t="s">
        <v>203</v>
      </c>
      <c r="N11" s="17" t="str">
        <f t="shared" si="3"/>
        <v>0000</v>
      </c>
      <c r="O11" s="43" t="str">
        <f t="shared" si="4"/>
        <v>000000000</v>
      </c>
      <c r="P11" s="41" t="str">
        <f t="shared" si="5"/>
        <v>000000000</v>
      </c>
      <c r="Q11" s="44" t="s">
        <v>204</v>
      </c>
    </row>
    <row r="12" spans="1:17" x14ac:dyDescent="0.25">
      <c r="A12" s="36" t="str">
        <f t="shared" si="6"/>
        <v>1000000000192017080204110000000000000000028</v>
      </c>
      <c r="B12" s="37">
        <v>10</v>
      </c>
      <c r="C12" s="32" t="s">
        <v>200</v>
      </c>
      <c r="D12" s="12">
        <v>19</v>
      </c>
      <c r="E12" s="12" t="str">
        <f t="shared" si="0"/>
        <v>0</v>
      </c>
      <c r="F12" s="12" t="str">
        <f t="shared" si="1"/>
        <v>0000000019</v>
      </c>
      <c r="G12" s="38">
        <v>201708</v>
      </c>
      <c r="H12" s="39" t="s">
        <v>205</v>
      </c>
      <c r="I12" s="40" t="s">
        <v>202</v>
      </c>
      <c r="J12" s="45">
        <v>0</v>
      </c>
      <c r="K12" s="41">
        <f t="shared" si="7"/>
        <v>0</v>
      </c>
      <c r="L12" s="42">
        <f t="shared" si="2"/>
        <v>0</v>
      </c>
      <c r="M12" s="32" t="s">
        <v>203</v>
      </c>
      <c r="N12" s="17" t="str">
        <f t="shared" si="3"/>
        <v>0000</v>
      </c>
      <c r="O12" s="43" t="str">
        <f>M12&amp;N12&amp;L12</f>
        <v>000000000</v>
      </c>
      <c r="P12" s="41" t="str">
        <f>LEFT(O12,9)</f>
        <v>000000000</v>
      </c>
      <c r="Q12" s="44" t="s">
        <v>204</v>
      </c>
    </row>
    <row r="13" spans="1:17" x14ac:dyDescent="0.25">
      <c r="A13" s="36" t="str">
        <f t="shared" si="6"/>
        <v>1000000000152017080204110000000000000000028</v>
      </c>
      <c r="B13" s="37">
        <v>10</v>
      </c>
      <c r="C13" s="32" t="s">
        <v>200</v>
      </c>
      <c r="D13" s="12">
        <v>15</v>
      </c>
      <c r="E13" s="12" t="str">
        <f t="shared" si="0"/>
        <v>0</v>
      </c>
      <c r="F13" s="12" t="str">
        <f t="shared" si="1"/>
        <v>0000000015</v>
      </c>
      <c r="G13" s="38">
        <v>201708</v>
      </c>
      <c r="H13" s="39" t="s">
        <v>205</v>
      </c>
      <c r="I13" s="40" t="s">
        <v>202</v>
      </c>
      <c r="J13" s="45">
        <v>0</v>
      </c>
      <c r="K13" s="41">
        <f t="shared" si="7"/>
        <v>0</v>
      </c>
      <c r="L13" s="42">
        <f t="shared" si="2"/>
        <v>0</v>
      </c>
      <c r="M13" s="32" t="s">
        <v>203</v>
      </c>
      <c r="N13" s="17" t="str">
        <f t="shared" si="3"/>
        <v>0000</v>
      </c>
      <c r="O13" s="43" t="str">
        <f t="shared" ref="O13:O76" si="8">M13&amp;N13&amp;L13</f>
        <v>000000000</v>
      </c>
      <c r="P13" s="41" t="str">
        <f t="shared" si="5"/>
        <v>000000000</v>
      </c>
      <c r="Q13" s="44" t="s">
        <v>204</v>
      </c>
    </row>
    <row r="14" spans="1:17" x14ac:dyDescent="0.25">
      <c r="A14" s="36" t="str">
        <f t="shared" si="6"/>
        <v>1000000000702017080204110000001080000000028</v>
      </c>
      <c r="B14" s="37">
        <v>10</v>
      </c>
      <c r="C14" s="32" t="s">
        <v>200</v>
      </c>
      <c r="D14" s="12">
        <v>70</v>
      </c>
      <c r="E14" s="12" t="str">
        <f t="shared" si="0"/>
        <v>0</v>
      </c>
      <c r="F14" s="12" t="str">
        <f t="shared" si="1"/>
        <v>0000000070</v>
      </c>
      <c r="G14" s="38">
        <v>201708</v>
      </c>
      <c r="H14" s="39" t="s">
        <v>205</v>
      </c>
      <c r="I14" s="40" t="s">
        <v>202</v>
      </c>
      <c r="J14" s="45">
        <v>4.5138888888888888E-2</v>
      </c>
      <c r="K14" s="41">
        <f t="shared" si="7"/>
        <v>1.0833333333333333</v>
      </c>
      <c r="L14" s="42">
        <f t="shared" si="2"/>
        <v>108.33333333333333</v>
      </c>
      <c r="M14" s="32" t="s">
        <v>203</v>
      </c>
      <c r="N14" s="17" t="str">
        <f t="shared" si="3"/>
        <v>00</v>
      </c>
      <c r="O14" s="43" t="str">
        <f t="shared" si="8"/>
        <v>000000108,333333333333</v>
      </c>
      <c r="P14" s="41" t="str">
        <f t="shared" si="5"/>
        <v>000000108</v>
      </c>
      <c r="Q14" s="44" t="s">
        <v>204</v>
      </c>
    </row>
    <row r="15" spans="1:17" x14ac:dyDescent="0.25">
      <c r="A15" s="36" t="str">
        <f t="shared" si="6"/>
        <v>1000000000242017080204110000000000000000028</v>
      </c>
      <c r="B15" s="37">
        <v>10</v>
      </c>
      <c r="C15" s="32" t="s">
        <v>200</v>
      </c>
      <c r="D15" s="12">
        <v>24</v>
      </c>
      <c r="E15" s="12" t="str">
        <f t="shared" si="0"/>
        <v>0</v>
      </c>
      <c r="F15" s="12" t="str">
        <f t="shared" si="1"/>
        <v>0000000024</v>
      </c>
      <c r="G15" s="38">
        <v>201708</v>
      </c>
      <c r="H15" s="39" t="s">
        <v>205</v>
      </c>
      <c r="I15" s="40" t="s">
        <v>202</v>
      </c>
      <c r="J15" s="45">
        <v>0</v>
      </c>
      <c r="K15" s="41">
        <f t="shared" si="7"/>
        <v>0</v>
      </c>
      <c r="L15" s="42">
        <f t="shared" si="2"/>
        <v>0</v>
      </c>
      <c r="M15" s="32" t="s">
        <v>203</v>
      </c>
      <c r="N15" s="17" t="str">
        <f t="shared" si="3"/>
        <v>0000</v>
      </c>
      <c r="O15" s="43" t="str">
        <f t="shared" si="8"/>
        <v>000000000</v>
      </c>
      <c r="P15" s="41" t="str">
        <f t="shared" si="5"/>
        <v>000000000</v>
      </c>
      <c r="Q15" s="44" t="s">
        <v>204</v>
      </c>
    </row>
    <row r="16" spans="1:17" x14ac:dyDescent="0.25">
      <c r="A16" s="36" t="str">
        <f t="shared" si="6"/>
        <v>1000000000712017080204110000002260000000028</v>
      </c>
      <c r="B16" s="37">
        <v>10</v>
      </c>
      <c r="C16" s="32" t="s">
        <v>200</v>
      </c>
      <c r="D16" s="12">
        <v>71</v>
      </c>
      <c r="E16" s="12" t="str">
        <f t="shared" si="0"/>
        <v>0</v>
      </c>
      <c r="F16" s="12" t="str">
        <f t="shared" si="1"/>
        <v>0000000071</v>
      </c>
      <c r="G16" s="38">
        <v>201708</v>
      </c>
      <c r="H16" s="39" t="s">
        <v>205</v>
      </c>
      <c r="I16" s="40" t="s">
        <v>202</v>
      </c>
      <c r="J16" s="45">
        <v>9.4444444444444442E-2</v>
      </c>
      <c r="K16" s="41">
        <f t="shared" si="7"/>
        <v>2.2666666666666666</v>
      </c>
      <c r="L16" s="42">
        <f t="shared" si="2"/>
        <v>226.66666666666666</v>
      </c>
      <c r="M16" s="32" t="s">
        <v>203</v>
      </c>
      <c r="N16" s="17" t="str">
        <f t="shared" si="3"/>
        <v>00</v>
      </c>
      <c r="O16" s="43" t="str">
        <f t="shared" si="8"/>
        <v>000000226,666666666667</v>
      </c>
      <c r="P16" s="41" t="str">
        <f t="shared" si="5"/>
        <v>000000226</v>
      </c>
      <c r="Q16" s="44" t="s">
        <v>204</v>
      </c>
    </row>
    <row r="17" spans="1:17" x14ac:dyDescent="0.25">
      <c r="A17" s="36" t="str">
        <f t="shared" si="6"/>
        <v>1000000000342017080204110000000000000000028</v>
      </c>
      <c r="B17" s="37">
        <v>10</v>
      </c>
      <c r="C17" s="32" t="s">
        <v>200</v>
      </c>
      <c r="D17" s="12">
        <v>34</v>
      </c>
      <c r="E17" s="12" t="str">
        <f t="shared" si="0"/>
        <v>0</v>
      </c>
      <c r="F17" s="12" t="str">
        <f t="shared" si="1"/>
        <v>0000000034</v>
      </c>
      <c r="G17" s="38">
        <v>201708</v>
      </c>
      <c r="H17" s="39" t="s">
        <v>205</v>
      </c>
      <c r="I17" s="40" t="s">
        <v>202</v>
      </c>
      <c r="J17" s="45">
        <v>0</v>
      </c>
      <c r="K17" s="41">
        <f t="shared" si="7"/>
        <v>0</v>
      </c>
      <c r="L17" s="42">
        <f t="shared" si="2"/>
        <v>0</v>
      </c>
      <c r="M17" s="32" t="s">
        <v>203</v>
      </c>
      <c r="N17" s="17" t="str">
        <f t="shared" si="3"/>
        <v>0000</v>
      </c>
      <c r="O17" s="43" t="str">
        <f t="shared" si="8"/>
        <v>000000000</v>
      </c>
      <c r="P17" s="41" t="str">
        <f t="shared" si="5"/>
        <v>000000000</v>
      </c>
      <c r="Q17" s="44" t="s">
        <v>204</v>
      </c>
    </row>
    <row r="18" spans="1:17" x14ac:dyDescent="0.25">
      <c r="A18" s="36" t="str">
        <f t="shared" si="6"/>
        <v>1000000000092017080204110000000000000000028</v>
      </c>
      <c r="B18" s="37">
        <v>10</v>
      </c>
      <c r="C18" s="32" t="s">
        <v>200</v>
      </c>
      <c r="D18" s="12">
        <v>9</v>
      </c>
      <c r="E18" s="12" t="str">
        <f t="shared" si="0"/>
        <v>00</v>
      </c>
      <c r="F18" s="12" t="str">
        <f t="shared" si="1"/>
        <v>0000000009</v>
      </c>
      <c r="G18" s="38">
        <v>201708</v>
      </c>
      <c r="H18" s="39" t="s">
        <v>205</v>
      </c>
      <c r="I18" s="40" t="s">
        <v>202</v>
      </c>
      <c r="J18" s="45">
        <v>0</v>
      </c>
      <c r="K18" s="41">
        <f t="shared" si="7"/>
        <v>0</v>
      </c>
      <c r="L18" s="42">
        <f t="shared" si="2"/>
        <v>0</v>
      </c>
      <c r="M18" s="32" t="s">
        <v>203</v>
      </c>
      <c r="N18" s="17" t="str">
        <f t="shared" si="3"/>
        <v>0000</v>
      </c>
      <c r="O18" s="43" t="str">
        <f t="shared" si="8"/>
        <v>000000000</v>
      </c>
      <c r="P18" s="41" t="str">
        <f t="shared" si="5"/>
        <v>000000000</v>
      </c>
      <c r="Q18" s="44" t="s">
        <v>204</v>
      </c>
    </row>
    <row r="19" spans="1:17" x14ac:dyDescent="0.25">
      <c r="A19" s="36" t="str">
        <f t="shared" si="6"/>
        <v>1000000000352017080204110000000000000000028</v>
      </c>
      <c r="B19" s="37">
        <v>10</v>
      </c>
      <c r="C19" s="32" t="s">
        <v>200</v>
      </c>
      <c r="D19" s="12">
        <v>35</v>
      </c>
      <c r="E19" s="12" t="str">
        <f t="shared" si="0"/>
        <v>0</v>
      </c>
      <c r="F19" s="12" t="str">
        <f t="shared" si="1"/>
        <v>0000000035</v>
      </c>
      <c r="G19" s="38">
        <v>201708</v>
      </c>
      <c r="H19" s="39" t="s">
        <v>205</v>
      </c>
      <c r="I19" s="40" t="s">
        <v>202</v>
      </c>
      <c r="J19" s="45">
        <v>0</v>
      </c>
      <c r="K19" s="41">
        <f t="shared" si="7"/>
        <v>0</v>
      </c>
      <c r="L19" s="42">
        <f t="shared" si="2"/>
        <v>0</v>
      </c>
      <c r="M19" s="32" t="s">
        <v>203</v>
      </c>
      <c r="N19" s="17" t="str">
        <f t="shared" si="3"/>
        <v>0000</v>
      </c>
      <c r="O19" s="43" t="str">
        <f t="shared" si="8"/>
        <v>000000000</v>
      </c>
      <c r="P19" s="41" t="str">
        <f t="shared" si="5"/>
        <v>000000000</v>
      </c>
      <c r="Q19" s="44" t="s">
        <v>204</v>
      </c>
    </row>
    <row r="20" spans="1:17" x14ac:dyDescent="0.25">
      <c r="A20" s="36" t="str">
        <f t="shared" si="6"/>
        <v>1000000000432017080204110000000000000000028</v>
      </c>
      <c r="B20" s="37">
        <v>10</v>
      </c>
      <c r="C20" s="32" t="s">
        <v>200</v>
      </c>
      <c r="D20" s="12">
        <v>43</v>
      </c>
      <c r="E20" s="12" t="str">
        <f t="shared" si="0"/>
        <v>0</v>
      </c>
      <c r="F20" s="12" t="str">
        <f t="shared" si="1"/>
        <v>0000000043</v>
      </c>
      <c r="G20" s="38">
        <v>201708</v>
      </c>
      <c r="H20" s="39" t="s">
        <v>205</v>
      </c>
      <c r="I20" s="40" t="s">
        <v>202</v>
      </c>
      <c r="J20" s="45">
        <v>0</v>
      </c>
      <c r="K20" s="41">
        <f t="shared" si="7"/>
        <v>0</v>
      </c>
      <c r="L20" s="42">
        <f t="shared" si="2"/>
        <v>0</v>
      </c>
      <c r="M20" s="32" t="s">
        <v>203</v>
      </c>
      <c r="N20" s="17" t="str">
        <f t="shared" si="3"/>
        <v>0000</v>
      </c>
      <c r="O20" s="43" t="str">
        <f t="shared" si="8"/>
        <v>000000000</v>
      </c>
      <c r="P20" s="41" t="str">
        <f t="shared" si="5"/>
        <v>000000000</v>
      </c>
      <c r="Q20" s="44" t="s">
        <v>204</v>
      </c>
    </row>
    <row r="21" spans="1:17" x14ac:dyDescent="0.25">
      <c r="A21" s="36" t="str">
        <f t="shared" si="6"/>
        <v>1000000000772017080204110000000000000000028</v>
      </c>
      <c r="B21" s="37">
        <v>10</v>
      </c>
      <c r="C21" s="32" t="s">
        <v>200</v>
      </c>
      <c r="D21" s="12">
        <v>77</v>
      </c>
      <c r="E21" s="12" t="str">
        <f t="shared" si="0"/>
        <v>0</v>
      </c>
      <c r="F21" s="12" t="str">
        <f t="shared" si="1"/>
        <v>0000000077</v>
      </c>
      <c r="G21" s="38">
        <v>201708</v>
      </c>
      <c r="H21" s="39" t="s">
        <v>205</v>
      </c>
      <c r="I21" s="40" t="s">
        <v>202</v>
      </c>
      <c r="J21" s="45">
        <v>0</v>
      </c>
      <c r="K21" s="41">
        <f t="shared" si="7"/>
        <v>0</v>
      </c>
      <c r="L21" s="42">
        <f t="shared" si="2"/>
        <v>0</v>
      </c>
      <c r="M21" s="32" t="s">
        <v>203</v>
      </c>
      <c r="N21" s="17" t="str">
        <f t="shared" si="3"/>
        <v>0000</v>
      </c>
      <c r="O21" s="43" t="str">
        <f t="shared" si="8"/>
        <v>000000000</v>
      </c>
      <c r="P21" s="41" t="str">
        <f t="shared" si="5"/>
        <v>000000000</v>
      </c>
      <c r="Q21" s="44" t="s">
        <v>204</v>
      </c>
    </row>
    <row r="22" spans="1:17" x14ac:dyDescent="0.25">
      <c r="A22" s="36" t="str">
        <f t="shared" si="6"/>
        <v>1000000000422017080204110000000000000000028</v>
      </c>
      <c r="B22" s="37">
        <v>10</v>
      </c>
      <c r="C22" s="32" t="s">
        <v>200</v>
      </c>
      <c r="D22" s="12">
        <v>42</v>
      </c>
      <c r="E22" s="12" t="str">
        <f t="shared" si="0"/>
        <v>0</v>
      </c>
      <c r="F22" s="12" t="str">
        <f t="shared" si="1"/>
        <v>0000000042</v>
      </c>
      <c r="G22" s="38">
        <v>201708</v>
      </c>
      <c r="H22" s="39" t="s">
        <v>205</v>
      </c>
      <c r="I22" s="40" t="s">
        <v>202</v>
      </c>
      <c r="J22" s="45">
        <v>0</v>
      </c>
      <c r="K22" s="41">
        <f t="shared" si="7"/>
        <v>0</v>
      </c>
      <c r="L22" s="42">
        <f t="shared" si="2"/>
        <v>0</v>
      </c>
      <c r="M22" s="32" t="s">
        <v>203</v>
      </c>
      <c r="N22" s="17" t="str">
        <f t="shared" si="3"/>
        <v>0000</v>
      </c>
      <c r="O22" s="43" t="str">
        <f t="shared" si="8"/>
        <v>000000000</v>
      </c>
      <c r="P22" s="41" t="str">
        <f t="shared" si="5"/>
        <v>000000000</v>
      </c>
      <c r="Q22" s="44" t="s">
        <v>204</v>
      </c>
    </row>
    <row r="23" spans="1:17" x14ac:dyDescent="0.25">
      <c r="A23" s="36" t="str">
        <f t="shared" si="6"/>
        <v>1000000000442017080204110000000000000000028</v>
      </c>
      <c r="B23" s="37">
        <v>10</v>
      </c>
      <c r="C23" s="32" t="s">
        <v>200</v>
      </c>
      <c r="D23" s="12">
        <v>44</v>
      </c>
      <c r="E23" s="12" t="str">
        <f t="shared" si="0"/>
        <v>0</v>
      </c>
      <c r="F23" s="12" t="str">
        <f t="shared" si="1"/>
        <v>0000000044</v>
      </c>
      <c r="G23" s="38">
        <v>201708</v>
      </c>
      <c r="H23" s="39" t="s">
        <v>205</v>
      </c>
      <c r="I23" s="40" t="s">
        <v>202</v>
      </c>
      <c r="J23" s="45">
        <v>0</v>
      </c>
      <c r="K23" s="41">
        <f t="shared" si="7"/>
        <v>0</v>
      </c>
      <c r="L23" s="42">
        <f t="shared" si="2"/>
        <v>0</v>
      </c>
      <c r="M23" s="32" t="s">
        <v>203</v>
      </c>
      <c r="N23" s="17" t="str">
        <f t="shared" si="3"/>
        <v>0000</v>
      </c>
      <c r="O23" s="43" t="str">
        <f t="shared" si="8"/>
        <v>000000000</v>
      </c>
      <c r="P23" s="41" t="str">
        <f t="shared" si="5"/>
        <v>000000000</v>
      </c>
      <c r="Q23" s="44" t="s">
        <v>204</v>
      </c>
    </row>
    <row r="24" spans="1:17" x14ac:dyDescent="0.25">
      <c r="A24" s="36" t="str">
        <f t="shared" si="6"/>
        <v>1000000000392017080204110000000000000000028</v>
      </c>
      <c r="B24" s="37">
        <v>10</v>
      </c>
      <c r="C24" s="32" t="s">
        <v>200</v>
      </c>
      <c r="D24" s="12">
        <v>39</v>
      </c>
      <c r="E24" s="12" t="str">
        <f t="shared" si="0"/>
        <v>0</v>
      </c>
      <c r="F24" s="12" t="str">
        <f t="shared" si="1"/>
        <v>0000000039</v>
      </c>
      <c r="G24" s="38">
        <v>201708</v>
      </c>
      <c r="H24" s="39" t="s">
        <v>205</v>
      </c>
      <c r="I24" s="40" t="s">
        <v>202</v>
      </c>
      <c r="J24" s="45">
        <v>0</v>
      </c>
      <c r="K24" s="41">
        <f t="shared" si="7"/>
        <v>0</v>
      </c>
      <c r="L24" s="42">
        <f t="shared" si="2"/>
        <v>0</v>
      </c>
      <c r="M24" s="32" t="s">
        <v>203</v>
      </c>
      <c r="N24" s="17" t="str">
        <f t="shared" si="3"/>
        <v>0000</v>
      </c>
      <c r="O24" s="43" t="str">
        <f t="shared" si="8"/>
        <v>000000000</v>
      </c>
      <c r="P24" s="41" t="str">
        <f t="shared" si="5"/>
        <v>000000000</v>
      </c>
      <c r="Q24" s="44" t="s">
        <v>204</v>
      </c>
    </row>
    <row r="25" spans="1:17" x14ac:dyDescent="0.25">
      <c r="A25" s="36" t="str">
        <f t="shared" si="6"/>
        <v>1000000000142017080204110000000000000000028</v>
      </c>
      <c r="B25" s="37">
        <v>10</v>
      </c>
      <c r="C25" s="32" t="s">
        <v>200</v>
      </c>
      <c r="D25" s="12">
        <v>14</v>
      </c>
      <c r="E25" s="12" t="str">
        <f t="shared" si="0"/>
        <v>0</v>
      </c>
      <c r="F25" s="12" t="str">
        <f t="shared" si="1"/>
        <v>0000000014</v>
      </c>
      <c r="G25" s="38">
        <v>201708</v>
      </c>
      <c r="H25" s="39" t="s">
        <v>205</v>
      </c>
      <c r="I25" s="40" t="s">
        <v>202</v>
      </c>
      <c r="J25" s="45">
        <v>0</v>
      </c>
      <c r="K25" s="41">
        <f t="shared" si="7"/>
        <v>0</v>
      </c>
      <c r="L25" s="42">
        <f t="shared" si="2"/>
        <v>0</v>
      </c>
      <c r="M25" s="32" t="s">
        <v>203</v>
      </c>
      <c r="N25" s="17" t="str">
        <f t="shared" si="3"/>
        <v>0000</v>
      </c>
      <c r="O25" s="43" t="str">
        <f t="shared" si="8"/>
        <v>000000000</v>
      </c>
      <c r="P25" s="41" t="str">
        <f t="shared" si="5"/>
        <v>000000000</v>
      </c>
      <c r="Q25" s="44" t="s">
        <v>204</v>
      </c>
    </row>
    <row r="26" spans="1:17" x14ac:dyDescent="0.25">
      <c r="A26" s="36" t="str">
        <f t="shared" si="6"/>
        <v>1000000000402017080204110000000000000000028</v>
      </c>
      <c r="B26" s="37">
        <v>10</v>
      </c>
      <c r="C26" s="32" t="s">
        <v>200</v>
      </c>
      <c r="D26" s="12">
        <v>40</v>
      </c>
      <c r="E26" s="12" t="str">
        <f t="shared" si="0"/>
        <v>0</v>
      </c>
      <c r="F26" s="12" t="str">
        <f t="shared" si="1"/>
        <v>0000000040</v>
      </c>
      <c r="G26" s="38">
        <v>201708</v>
      </c>
      <c r="H26" s="39" t="s">
        <v>205</v>
      </c>
      <c r="I26" s="40" t="s">
        <v>202</v>
      </c>
      <c r="J26" s="45">
        <v>0</v>
      </c>
      <c r="K26" s="41">
        <f t="shared" si="7"/>
        <v>0</v>
      </c>
      <c r="L26" s="42">
        <f t="shared" si="2"/>
        <v>0</v>
      </c>
      <c r="M26" s="32" t="s">
        <v>203</v>
      </c>
      <c r="N26" s="17" t="str">
        <f t="shared" si="3"/>
        <v>0000</v>
      </c>
      <c r="O26" s="43" t="str">
        <f t="shared" si="8"/>
        <v>000000000</v>
      </c>
      <c r="P26" s="41" t="str">
        <f t="shared" si="5"/>
        <v>000000000</v>
      </c>
      <c r="Q26" s="44" t="s">
        <v>204</v>
      </c>
    </row>
    <row r="27" spans="1:17" x14ac:dyDescent="0.25">
      <c r="A27" s="36" t="str">
        <f t="shared" si="6"/>
        <v>1000000000692017080204110000002350000000028</v>
      </c>
      <c r="B27" s="37">
        <v>10</v>
      </c>
      <c r="C27" s="32" t="s">
        <v>200</v>
      </c>
      <c r="D27" s="12">
        <v>69</v>
      </c>
      <c r="E27" s="12" t="str">
        <f t="shared" si="0"/>
        <v>0</v>
      </c>
      <c r="F27" s="12" t="str">
        <f t="shared" si="1"/>
        <v>0000000069</v>
      </c>
      <c r="G27" s="38">
        <v>201708</v>
      </c>
      <c r="H27" s="39" t="s">
        <v>205</v>
      </c>
      <c r="I27" s="40" t="s">
        <v>202</v>
      </c>
      <c r="J27" s="45">
        <v>9.7916666666666666E-2</v>
      </c>
      <c r="K27" s="41">
        <f t="shared" si="7"/>
        <v>2.35</v>
      </c>
      <c r="L27" s="42">
        <f t="shared" si="2"/>
        <v>235</v>
      </c>
      <c r="M27" s="32" t="s">
        <v>203</v>
      </c>
      <c r="N27" s="17" t="str">
        <f t="shared" si="3"/>
        <v>00</v>
      </c>
      <c r="O27" s="43" t="str">
        <f t="shared" si="8"/>
        <v>000000235</v>
      </c>
      <c r="P27" s="41" t="str">
        <f t="shared" si="5"/>
        <v>000000235</v>
      </c>
      <c r="Q27" s="44" t="s">
        <v>204</v>
      </c>
    </row>
    <row r="28" spans="1:17" x14ac:dyDescent="0.25">
      <c r="A28" s="36" t="str">
        <f t="shared" si="6"/>
        <v>1000000000012017080204110000000000000000028</v>
      </c>
      <c r="B28" s="37">
        <v>10</v>
      </c>
      <c r="C28" s="32" t="s">
        <v>200</v>
      </c>
      <c r="D28" s="12">
        <v>1</v>
      </c>
      <c r="E28" s="12" t="str">
        <f t="shared" si="0"/>
        <v>00</v>
      </c>
      <c r="F28" s="12" t="str">
        <f t="shared" si="1"/>
        <v>0000000001</v>
      </c>
      <c r="G28" s="38">
        <v>201708</v>
      </c>
      <c r="H28" s="39" t="s">
        <v>205</v>
      </c>
      <c r="I28" s="40" t="s">
        <v>202</v>
      </c>
      <c r="J28" s="45">
        <v>0</v>
      </c>
      <c r="K28" s="41">
        <f t="shared" si="7"/>
        <v>0</v>
      </c>
      <c r="L28" s="42">
        <f t="shared" si="2"/>
        <v>0</v>
      </c>
      <c r="M28" s="32" t="s">
        <v>203</v>
      </c>
      <c r="N28" s="17" t="str">
        <f t="shared" si="3"/>
        <v>0000</v>
      </c>
      <c r="O28" s="43" t="str">
        <f t="shared" si="8"/>
        <v>000000000</v>
      </c>
      <c r="P28" s="41" t="str">
        <f t="shared" si="5"/>
        <v>000000000</v>
      </c>
      <c r="Q28" s="44" t="s">
        <v>204</v>
      </c>
    </row>
    <row r="29" spans="1:17" x14ac:dyDescent="0.25">
      <c r="A29" s="36" t="str">
        <f t="shared" si="6"/>
        <v>1000000000762017080204110000000000000000028</v>
      </c>
      <c r="B29" s="37">
        <v>10</v>
      </c>
      <c r="C29" s="32" t="s">
        <v>200</v>
      </c>
      <c r="D29" s="12">
        <v>76</v>
      </c>
      <c r="E29" s="12" t="str">
        <f t="shared" si="0"/>
        <v>0</v>
      </c>
      <c r="F29" s="12" t="str">
        <f t="shared" si="1"/>
        <v>0000000076</v>
      </c>
      <c r="G29" s="38">
        <v>201708</v>
      </c>
      <c r="H29" s="39" t="s">
        <v>205</v>
      </c>
      <c r="I29" s="40" t="s">
        <v>202</v>
      </c>
      <c r="J29" s="45">
        <v>0</v>
      </c>
      <c r="K29" s="41">
        <f t="shared" si="7"/>
        <v>0</v>
      </c>
      <c r="L29" s="42">
        <f t="shared" si="2"/>
        <v>0</v>
      </c>
      <c r="M29" s="32" t="s">
        <v>203</v>
      </c>
      <c r="N29" s="17" t="str">
        <f t="shared" si="3"/>
        <v>0000</v>
      </c>
      <c r="O29" s="43" t="str">
        <f t="shared" si="8"/>
        <v>000000000</v>
      </c>
      <c r="P29" s="41" t="str">
        <f t="shared" si="5"/>
        <v>000000000</v>
      </c>
      <c r="Q29" s="44" t="s">
        <v>204</v>
      </c>
    </row>
    <row r="30" spans="1:17" x14ac:dyDescent="0.25">
      <c r="A30" s="36" t="str">
        <f t="shared" si="6"/>
        <v>1000000000362017080204110000000000000000028</v>
      </c>
      <c r="B30" s="37">
        <v>10</v>
      </c>
      <c r="C30" s="32" t="s">
        <v>200</v>
      </c>
      <c r="D30" s="12">
        <v>36</v>
      </c>
      <c r="E30" s="12" t="str">
        <f t="shared" si="0"/>
        <v>0</v>
      </c>
      <c r="F30" s="12" t="str">
        <f t="shared" si="1"/>
        <v>0000000036</v>
      </c>
      <c r="G30" s="38">
        <v>201708</v>
      </c>
      <c r="H30" s="39" t="s">
        <v>205</v>
      </c>
      <c r="I30" s="40" t="s">
        <v>202</v>
      </c>
      <c r="J30" s="45">
        <v>0</v>
      </c>
      <c r="K30" s="41">
        <f t="shared" si="7"/>
        <v>0</v>
      </c>
      <c r="L30" s="42">
        <f t="shared" si="2"/>
        <v>0</v>
      </c>
      <c r="M30" s="32" t="s">
        <v>203</v>
      </c>
      <c r="N30" s="17" t="str">
        <f t="shared" si="3"/>
        <v>0000</v>
      </c>
      <c r="O30" s="43" t="str">
        <f t="shared" si="8"/>
        <v>000000000</v>
      </c>
      <c r="P30" s="41" t="str">
        <f t="shared" si="5"/>
        <v>000000000</v>
      </c>
      <c r="Q30" s="44" t="s">
        <v>204</v>
      </c>
    </row>
    <row r="31" spans="1:17" x14ac:dyDescent="0.25">
      <c r="A31" s="36" t="str">
        <f t="shared" si="6"/>
        <v>1000000000032017080204110000000000000000028</v>
      </c>
      <c r="B31" s="37">
        <v>10</v>
      </c>
      <c r="C31" s="32" t="s">
        <v>200</v>
      </c>
      <c r="D31" s="12">
        <v>3</v>
      </c>
      <c r="E31" s="12" t="str">
        <f t="shared" si="0"/>
        <v>00</v>
      </c>
      <c r="F31" s="12" t="str">
        <f t="shared" si="1"/>
        <v>0000000003</v>
      </c>
      <c r="G31" s="38">
        <v>201708</v>
      </c>
      <c r="H31" s="39" t="s">
        <v>205</v>
      </c>
      <c r="I31" s="40" t="s">
        <v>202</v>
      </c>
      <c r="J31" s="45">
        <v>0</v>
      </c>
      <c r="K31" s="41">
        <f t="shared" si="7"/>
        <v>0</v>
      </c>
      <c r="L31" s="42">
        <f t="shared" si="2"/>
        <v>0</v>
      </c>
      <c r="M31" s="32" t="s">
        <v>203</v>
      </c>
      <c r="N31" s="17" t="str">
        <f t="shared" si="3"/>
        <v>0000</v>
      </c>
      <c r="O31" s="43" t="str">
        <f t="shared" si="8"/>
        <v>000000000</v>
      </c>
      <c r="P31" s="41" t="str">
        <f t="shared" si="5"/>
        <v>000000000</v>
      </c>
      <c r="Q31" s="44" t="s">
        <v>204</v>
      </c>
    </row>
    <row r="32" spans="1:17" x14ac:dyDescent="0.25">
      <c r="A32" s="36" t="str">
        <f t="shared" si="6"/>
        <v>1000000000172017080204110000000000000000028</v>
      </c>
      <c r="B32" s="37">
        <v>10</v>
      </c>
      <c r="C32" s="32" t="s">
        <v>200</v>
      </c>
      <c r="D32" s="12">
        <v>17</v>
      </c>
      <c r="E32" s="12" t="str">
        <f t="shared" si="0"/>
        <v>0</v>
      </c>
      <c r="F32" s="12" t="str">
        <f t="shared" si="1"/>
        <v>0000000017</v>
      </c>
      <c r="G32" s="38">
        <v>201708</v>
      </c>
      <c r="H32" s="39" t="s">
        <v>205</v>
      </c>
      <c r="I32" s="40" t="s">
        <v>202</v>
      </c>
      <c r="J32" s="45">
        <v>0</v>
      </c>
      <c r="K32" s="41">
        <f t="shared" si="7"/>
        <v>0</v>
      </c>
      <c r="L32" s="42">
        <f t="shared" si="2"/>
        <v>0</v>
      </c>
      <c r="M32" s="32" t="s">
        <v>203</v>
      </c>
      <c r="N32" s="17" t="str">
        <f t="shared" si="3"/>
        <v>0000</v>
      </c>
      <c r="O32" s="43" t="str">
        <f t="shared" si="8"/>
        <v>000000000</v>
      </c>
      <c r="P32" s="41" t="str">
        <f t="shared" si="5"/>
        <v>000000000</v>
      </c>
      <c r="Q32" s="44" t="s">
        <v>204</v>
      </c>
    </row>
    <row r="33" spans="1:17" x14ac:dyDescent="0.25">
      <c r="A33" s="36" t="str">
        <f t="shared" si="6"/>
        <v>1000000000372017080204110000000000000000028</v>
      </c>
      <c r="B33" s="37">
        <v>10</v>
      </c>
      <c r="C33" s="32" t="s">
        <v>200</v>
      </c>
      <c r="D33" s="12">
        <v>37</v>
      </c>
      <c r="E33" s="12" t="str">
        <f t="shared" si="0"/>
        <v>0</v>
      </c>
      <c r="F33" s="12" t="str">
        <f t="shared" si="1"/>
        <v>0000000037</v>
      </c>
      <c r="G33" s="38">
        <v>201708</v>
      </c>
      <c r="H33" s="39" t="s">
        <v>205</v>
      </c>
      <c r="I33" s="40" t="s">
        <v>202</v>
      </c>
      <c r="J33" s="45">
        <v>0</v>
      </c>
      <c r="K33" s="41">
        <f t="shared" si="7"/>
        <v>0</v>
      </c>
      <c r="L33" s="42">
        <f t="shared" si="2"/>
        <v>0</v>
      </c>
      <c r="M33" s="32" t="s">
        <v>203</v>
      </c>
      <c r="N33" s="17" t="str">
        <f t="shared" si="3"/>
        <v>0000</v>
      </c>
      <c r="O33" s="43" t="str">
        <f t="shared" si="8"/>
        <v>000000000</v>
      </c>
      <c r="P33" s="41" t="str">
        <f t="shared" si="5"/>
        <v>000000000</v>
      </c>
      <c r="Q33" s="44" t="s">
        <v>204</v>
      </c>
    </row>
    <row r="34" spans="1:17" x14ac:dyDescent="0.25">
      <c r="A34" s="36" t="str">
        <f t="shared" si="6"/>
        <v>1000000000062017080204110000000010000000028</v>
      </c>
      <c r="B34" s="37">
        <v>10</v>
      </c>
      <c r="C34" s="32" t="s">
        <v>200</v>
      </c>
      <c r="D34" s="12">
        <v>6</v>
      </c>
      <c r="E34" s="12" t="str">
        <f t="shared" si="0"/>
        <v>00</v>
      </c>
      <c r="F34" s="12" t="str">
        <f t="shared" si="1"/>
        <v>0000000006</v>
      </c>
      <c r="G34" s="38">
        <v>201708</v>
      </c>
      <c r="H34" s="39" t="s">
        <v>205</v>
      </c>
      <c r="I34" s="40" t="s">
        <v>202</v>
      </c>
      <c r="J34" s="45">
        <v>6.9444444444444447E-4</v>
      </c>
      <c r="K34" s="41">
        <f t="shared" si="7"/>
        <v>1.6666666666666666E-2</v>
      </c>
      <c r="L34" s="42">
        <f t="shared" si="2"/>
        <v>1.6666666666666667</v>
      </c>
      <c r="M34" s="32" t="s">
        <v>203</v>
      </c>
      <c r="N34" s="17" t="str">
        <f t="shared" si="3"/>
        <v>0000</v>
      </c>
      <c r="O34" s="43" t="str">
        <f t="shared" si="8"/>
        <v>000000001,66666666666667</v>
      </c>
      <c r="P34" s="41" t="str">
        <f t="shared" si="5"/>
        <v>000000001</v>
      </c>
      <c r="Q34" s="44" t="s">
        <v>204</v>
      </c>
    </row>
    <row r="35" spans="1:17" x14ac:dyDescent="0.25">
      <c r="A35" s="36" t="str">
        <f t="shared" si="6"/>
        <v>1000000000122017080204110000000000000000028</v>
      </c>
      <c r="B35" s="37">
        <v>10</v>
      </c>
      <c r="C35" s="32" t="s">
        <v>200</v>
      </c>
      <c r="D35" s="12">
        <v>12</v>
      </c>
      <c r="E35" s="12" t="str">
        <f t="shared" si="0"/>
        <v>0</v>
      </c>
      <c r="F35" s="12" t="str">
        <f t="shared" si="1"/>
        <v>0000000012</v>
      </c>
      <c r="G35" s="38">
        <v>201708</v>
      </c>
      <c r="H35" s="39" t="s">
        <v>205</v>
      </c>
      <c r="I35" s="40" t="s">
        <v>202</v>
      </c>
      <c r="J35" s="45">
        <v>0</v>
      </c>
      <c r="K35" s="41">
        <f t="shared" si="7"/>
        <v>0</v>
      </c>
      <c r="L35" s="42">
        <f t="shared" si="2"/>
        <v>0</v>
      </c>
      <c r="M35" s="32" t="s">
        <v>203</v>
      </c>
      <c r="N35" s="17" t="str">
        <f t="shared" si="3"/>
        <v>0000</v>
      </c>
      <c r="O35" s="43" t="str">
        <f t="shared" si="8"/>
        <v>000000000</v>
      </c>
      <c r="P35" s="41" t="str">
        <f t="shared" si="5"/>
        <v>000000000</v>
      </c>
      <c r="Q35" s="44" t="s">
        <v>204</v>
      </c>
    </row>
    <row r="36" spans="1:17" x14ac:dyDescent="0.25">
      <c r="A36" s="36" t="str">
        <f t="shared" si="6"/>
        <v>1000000000802017080204110000000000000000028</v>
      </c>
      <c r="B36" s="37">
        <v>10</v>
      </c>
      <c r="C36" s="32" t="s">
        <v>200</v>
      </c>
      <c r="D36" s="12">
        <v>80</v>
      </c>
      <c r="E36" s="12" t="str">
        <f t="shared" si="0"/>
        <v>0</v>
      </c>
      <c r="F36" s="12" t="str">
        <f t="shared" si="1"/>
        <v>0000000080</v>
      </c>
      <c r="G36" s="38">
        <v>201708</v>
      </c>
      <c r="H36" s="39" t="s">
        <v>205</v>
      </c>
      <c r="I36" s="40" t="s">
        <v>202</v>
      </c>
      <c r="J36" s="45">
        <v>0</v>
      </c>
      <c r="K36" s="41">
        <f t="shared" si="7"/>
        <v>0</v>
      </c>
      <c r="L36" s="42">
        <f t="shared" si="2"/>
        <v>0</v>
      </c>
      <c r="M36" s="32" t="s">
        <v>203</v>
      </c>
      <c r="N36" s="17" t="str">
        <f t="shared" si="3"/>
        <v>0000</v>
      </c>
      <c r="O36" s="43" t="str">
        <f t="shared" si="8"/>
        <v>000000000</v>
      </c>
      <c r="P36" s="41" t="str">
        <f t="shared" si="5"/>
        <v>000000000</v>
      </c>
      <c r="Q36" s="44" t="s">
        <v>204</v>
      </c>
    </row>
    <row r="37" spans="1:17" x14ac:dyDescent="0.25">
      <c r="A37" s="36" t="str">
        <f t="shared" si="6"/>
        <v>1000000000412017080204110000000000000000028</v>
      </c>
      <c r="B37" s="37">
        <v>10</v>
      </c>
      <c r="C37" s="32" t="s">
        <v>200</v>
      </c>
      <c r="D37" s="12">
        <v>41</v>
      </c>
      <c r="E37" s="12" t="str">
        <f t="shared" si="0"/>
        <v>0</v>
      </c>
      <c r="F37" s="12" t="str">
        <f t="shared" si="1"/>
        <v>0000000041</v>
      </c>
      <c r="G37" s="38">
        <v>201708</v>
      </c>
      <c r="H37" s="39" t="s">
        <v>205</v>
      </c>
      <c r="I37" s="40" t="s">
        <v>202</v>
      </c>
      <c r="J37" s="45">
        <v>0</v>
      </c>
      <c r="K37" s="41">
        <f t="shared" si="7"/>
        <v>0</v>
      </c>
      <c r="L37" s="42">
        <f t="shared" si="2"/>
        <v>0</v>
      </c>
      <c r="M37" s="32" t="s">
        <v>203</v>
      </c>
      <c r="N37" s="17" t="str">
        <f t="shared" si="3"/>
        <v>0000</v>
      </c>
      <c r="O37" s="43" t="str">
        <f t="shared" si="8"/>
        <v>000000000</v>
      </c>
      <c r="P37" s="41" t="str">
        <f t="shared" si="5"/>
        <v>000000000</v>
      </c>
      <c r="Q37" s="44" t="s">
        <v>204</v>
      </c>
    </row>
    <row r="38" spans="1:17" x14ac:dyDescent="0.25">
      <c r="A38" s="36" t="str">
        <f t="shared" si="6"/>
        <v>1000000000132017080204110000000000000000028</v>
      </c>
      <c r="B38" s="37">
        <v>10</v>
      </c>
      <c r="C38" s="32" t="s">
        <v>200</v>
      </c>
      <c r="D38" s="12">
        <v>13</v>
      </c>
      <c r="E38" s="12" t="str">
        <f t="shared" si="0"/>
        <v>0</v>
      </c>
      <c r="F38" s="12" t="str">
        <f t="shared" si="1"/>
        <v>0000000013</v>
      </c>
      <c r="G38" s="38">
        <v>201708</v>
      </c>
      <c r="H38" s="39" t="s">
        <v>205</v>
      </c>
      <c r="I38" s="40" t="s">
        <v>202</v>
      </c>
      <c r="J38" s="45">
        <v>0</v>
      </c>
      <c r="K38" s="41">
        <f t="shared" si="7"/>
        <v>0</v>
      </c>
      <c r="L38" s="42">
        <f t="shared" si="2"/>
        <v>0</v>
      </c>
      <c r="M38" s="32" t="s">
        <v>203</v>
      </c>
      <c r="N38" s="17" t="str">
        <f t="shared" si="3"/>
        <v>0000</v>
      </c>
      <c r="O38" s="43" t="str">
        <f t="shared" si="8"/>
        <v>000000000</v>
      </c>
      <c r="P38" s="41" t="str">
        <f t="shared" si="5"/>
        <v>000000000</v>
      </c>
      <c r="Q38" s="44" t="s">
        <v>204</v>
      </c>
    </row>
    <row r="39" spans="1:17" x14ac:dyDescent="0.25">
      <c r="A39" s="36" t="str">
        <f t="shared" si="6"/>
        <v>1000000000042017080204110000000110000000028</v>
      </c>
      <c r="B39" s="37">
        <v>10</v>
      </c>
      <c r="C39" s="32" t="s">
        <v>200</v>
      </c>
      <c r="D39" s="12">
        <v>4</v>
      </c>
      <c r="E39" s="12" t="str">
        <f t="shared" si="0"/>
        <v>00</v>
      </c>
      <c r="F39" s="12" t="str">
        <f t="shared" si="1"/>
        <v>0000000004</v>
      </c>
      <c r="G39" s="38">
        <v>201708</v>
      </c>
      <c r="H39" s="39" t="s">
        <v>205</v>
      </c>
      <c r="I39" s="40" t="s">
        <v>202</v>
      </c>
      <c r="J39" s="45">
        <v>4.8611111111111112E-3</v>
      </c>
      <c r="K39" s="41">
        <f t="shared" si="7"/>
        <v>0.11666666666666667</v>
      </c>
      <c r="L39" s="42">
        <f t="shared" si="2"/>
        <v>11.666666666666666</v>
      </c>
      <c r="M39" s="32" t="s">
        <v>203</v>
      </c>
      <c r="N39" s="17" t="str">
        <f t="shared" si="3"/>
        <v>000</v>
      </c>
      <c r="O39" s="43" t="str">
        <f t="shared" si="8"/>
        <v>000000011,6666666666667</v>
      </c>
      <c r="P39" s="41" t="str">
        <f t="shared" si="5"/>
        <v>000000011</v>
      </c>
      <c r="Q39" s="44" t="s">
        <v>204</v>
      </c>
    </row>
    <row r="40" spans="1:17" x14ac:dyDescent="0.25">
      <c r="A40" s="36" t="str">
        <f t="shared" si="6"/>
        <v>1000000000662017080204110000000610000000028</v>
      </c>
      <c r="B40" s="37">
        <v>10</v>
      </c>
      <c r="C40" s="32" t="s">
        <v>200</v>
      </c>
      <c r="D40" s="12">
        <v>66</v>
      </c>
      <c r="E40" s="12" t="str">
        <f t="shared" si="0"/>
        <v>0</v>
      </c>
      <c r="F40" s="12" t="str">
        <f t="shared" si="1"/>
        <v>0000000066</v>
      </c>
      <c r="G40" s="38">
        <v>201708</v>
      </c>
      <c r="H40" s="39" t="s">
        <v>205</v>
      </c>
      <c r="I40" s="40" t="s">
        <v>202</v>
      </c>
      <c r="J40" s="45">
        <v>2.5694444444444447E-2</v>
      </c>
      <c r="K40" s="41">
        <f t="shared" si="7"/>
        <v>0.6166666666666667</v>
      </c>
      <c r="L40" s="42">
        <f t="shared" si="2"/>
        <v>61.666666666666671</v>
      </c>
      <c r="M40" s="32" t="s">
        <v>203</v>
      </c>
      <c r="N40" s="17" t="str">
        <f t="shared" si="3"/>
        <v>000</v>
      </c>
      <c r="O40" s="43" t="str">
        <f t="shared" si="8"/>
        <v>000000061,6666666666667</v>
      </c>
      <c r="P40" s="41" t="str">
        <f t="shared" si="5"/>
        <v>000000061</v>
      </c>
      <c r="Q40" s="44" t="s">
        <v>204</v>
      </c>
    </row>
    <row r="41" spans="1:17" x14ac:dyDescent="0.25">
      <c r="A41" s="36" t="str">
        <f t="shared" si="6"/>
        <v>1000000000812017080204110000000000000000028</v>
      </c>
      <c r="B41" s="37">
        <v>10</v>
      </c>
      <c r="C41" s="32" t="s">
        <v>200</v>
      </c>
      <c r="D41" s="12">
        <v>81</v>
      </c>
      <c r="E41" s="12" t="str">
        <f t="shared" si="0"/>
        <v>0</v>
      </c>
      <c r="F41" s="12" t="str">
        <f t="shared" si="1"/>
        <v>0000000081</v>
      </c>
      <c r="G41" s="38">
        <v>201708</v>
      </c>
      <c r="H41" s="39" t="s">
        <v>205</v>
      </c>
      <c r="I41" s="40" t="s">
        <v>202</v>
      </c>
      <c r="J41" s="45">
        <v>0</v>
      </c>
      <c r="K41" s="41">
        <f t="shared" si="7"/>
        <v>0</v>
      </c>
      <c r="L41" s="42">
        <f t="shared" si="2"/>
        <v>0</v>
      </c>
      <c r="M41" s="32" t="s">
        <v>203</v>
      </c>
      <c r="N41" s="17" t="str">
        <f t="shared" si="3"/>
        <v>0000</v>
      </c>
      <c r="O41" s="43" t="str">
        <f t="shared" si="8"/>
        <v>000000000</v>
      </c>
      <c r="P41" s="41" t="str">
        <f t="shared" si="5"/>
        <v>000000000</v>
      </c>
      <c r="Q41" s="44" t="s">
        <v>204</v>
      </c>
    </row>
    <row r="42" spans="1:17" x14ac:dyDescent="0.25">
      <c r="A42" s="36" t="str">
        <f t="shared" si="6"/>
        <v>1000000000262017080204110000000000000000028</v>
      </c>
      <c r="B42" s="37">
        <v>10</v>
      </c>
      <c r="C42" s="32" t="s">
        <v>200</v>
      </c>
      <c r="D42" s="12">
        <v>26</v>
      </c>
      <c r="E42" s="12" t="str">
        <f t="shared" si="0"/>
        <v>0</v>
      </c>
      <c r="F42" s="12" t="str">
        <f t="shared" si="1"/>
        <v>0000000026</v>
      </c>
      <c r="G42" s="38">
        <v>201708</v>
      </c>
      <c r="H42" s="39" t="s">
        <v>205</v>
      </c>
      <c r="I42" s="40" t="s">
        <v>202</v>
      </c>
      <c r="J42" s="45">
        <v>0</v>
      </c>
      <c r="K42" s="41">
        <f t="shared" si="7"/>
        <v>0</v>
      </c>
      <c r="L42" s="42">
        <f t="shared" si="2"/>
        <v>0</v>
      </c>
      <c r="M42" s="32" t="s">
        <v>203</v>
      </c>
      <c r="N42" s="17" t="str">
        <f t="shared" si="3"/>
        <v>0000</v>
      </c>
      <c r="O42" s="43" t="str">
        <f t="shared" si="8"/>
        <v>000000000</v>
      </c>
      <c r="P42" s="41" t="str">
        <f t="shared" si="5"/>
        <v>000000000</v>
      </c>
      <c r="Q42" s="44" t="s">
        <v>204</v>
      </c>
    </row>
    <row r="43" spans="1:17" x14ac:dyDescent="0.25">
      <c r="A43" s="36" t="str">
        <f t="shared" si="6"/>
        <v>1000000000832017080204110000000000000000028</v>
      </c>
      <c r="B43" s="37">
        <v>10</v>
      </c>
      <c r="C43" s="32" t="s">
        <v>200</v>
      </c>
      <c r="D43" s="12">
        <v>83</v>
      </c>
      <c r="E43" s="12" t="str">
        <f t="shared" si="0"/>
        <v>0</v>
      </c>
      <c r="F43" s="12" t="str">
        <f t="shared" si="1"/>
        <v>0000000083</v>
      </c>
      <c r="G43" s="38">
        <v>201708</v>
      </c>
      <c r="H43" s="39" t="s">
        <v>205</v>
      </c>
      <c r="I43" s="40" t="s">
        <v>202</v>
      </c>
      <c r="J43" s="45">
        <v>0</v>
      </c>
      <c r="K43" s="41">
        <f t="shared" si="7"/>
        <v>0</v>
      </c>
      <c r="L43" s="42">
        <f t="shared" si="2"/>
        <v>0</v>
      </c>
      <c r="M43" s="32" t="s">
        <v>203</v>
      </c>
      <c r="N43" s="17" t="str">
        <f t="shared" si="3"/>
        <v>0000</v>
      </c>
      <c r="O43" s="43" t="str">
        <f t="shared" si="8"/>
        <v>000000000</v>
      </c>
      <c r="P43" s="41" t="str">
        <f t="shared" si="5"/>
        <v>000000000</v>
      </c>
      <c r="Q43" s="44" t="s">
        <v>204</v>
      </c>
    </row>
    <row r="44" spans="1:17" x14ac:dyDescent="0.25">
      <c r="A44" s="36" t="str">
        <f t="shared" si="6"/>
        <v>1000000000382017080204110000000000000000028</v>
      </c>
      <c r="B44" s="37">
        <v>10</v>
      </c>
      <c r="C44" s="32" t="s">
        <v>200</v>
      </c>
      <c r="D44" s="12">
        <v>38</v>
      </c>
      <c r="E44" s="12" t="str">
        <f t="shared" si="0"/>
        <v>0</v>
      </c>
      <c r="F44" s="12" t="str">
        <f t="shared" si="1"/>
        <v>0000000038</v>
      </c>
      <c r="G44" s="38">
        <v>201708</v>
      </c>
      <c r="H44" s="39" t="s">
        <v>205</v>
      </c>
      <c r="I44" s="40" t="s">
        <v>202</v>
      </c>
      <c r="J44" s="45">
        <v>0</v>
      </c>
      <c r="K44" s="41">
        <f t="shared" si="7"/>
        <v>0</v>
      </c>
      <c r="L44" s="42">
        <f t="shared" si="2"/>
        <v>0</v>
      </c>
      <c r="M44" s="32" t="s">
        <v>203</v>
      </c>
      <c r="N44" s="17" t="str">
        <f t="shared" si="3"/>
        <v>0000</v>
      </c>
      <c r="O44" s="43" t="str">
        <f t="shared" si="8"/>
        <v>000000000</v>
      </c>
      <c r="P44" s="41" t="str">
        <f t="shared" si="5"/>
        <v>000000000</v>
      </c>
      <c r="Q44" s="44" t="s">
        <v>204</v>
      </c>
    </row>
    <row r="45" spans="1:17" x14ac:dyDescent="0.25">
      <c r="A45" s="36" t="str">
        <f t="shared" si="6"/>
        <v>1000000000642017080204110000000000000000028</v>
      </c>
      <c r="B45" s="37">
        <v>10</v>
      </c>
      <c r="C45" s="32" t="s">
        <v>200</v>
      </c>
      <c r="D45" s="12">
        <v>64</v>
      </c>
      <c r="E45" s="12" t="str">
        <f t="shared" si="0"/>
        <v>0</v>
      </c>
      <c r="F45" s="12" t="str">
        <f t="shared" si="1"/>
        <v>0000000064</v>
      </c>
      <c r="G45" s="38">
        <v>201708</v>
      </c>
      <c r="H45" s="39" t="s">
        <v>205</v>
      </c>
      <c r="I45" s="40" t="s">
        <v>202</v>
      </c>
      <c r="J45" s="45">
        <v>0</v>
      </c>
      <c r="K45" s="41">
        <f t="shared" si="7"/>
        <v>0</v>
      </c>
      <c r="L45" s="42">
        <f t="shared" si="2"/>
        <v>0</v>
      </c>
      <c r="M45" s="32" t="s">
        <v>203</v>
      </c>
      <c r="N45" s="17" t="str">
        <f t="shared" si="3"/>
        <v>0000</v>
      </c>
      <c r="O45" s="43" t="str">
        <f t="shared" si="8"/>
        <v>000000000</v>
      </c>
      <c r="P45" s="41" t="str">
        <f t="shared" si="5"/>
        <v>000000000</v>
      </c>
      <c r="Q45" s="44" t="s">
        <v>204</v>
      </c>
    </row>
    <row r="46" spans="1:17" x14ac:dyDescent="0.25">
      <c r="A46" s="36" t="str">
        <f t="shared" si="6"/>
        <v>1000000000492017080204110000001550000000028</v>
      </c>
      <c r="B46" s="37">
        <v>10</v>
      </c>
      <c r="C46" s="32" t="s">
        <v>200</v>
      </c>
      <c r="D46" s="12">
        <v>49</v>
      </c>
      <c r="E46" s="12" t="str">
        <f t="shared" si="0"/>
        <v>0</v>
      </c>
      <c r="F46" s="12" t="str">
        <f t="shared" si="1"/>
        <v>0000000049</v>
      </c>
      <c r="G46" s="38">
        <v>201708</v>
      </c>
      <c r="H46" s="39" t="s">
        <v>205</v>
      </c>
      <c r="I46" s="40" t="s">
        <v>202</v>
      </c>
      <c r="J46" s="45">
        <v>6.458333333333334E-2</v>
      </c>
      <c r="K46" s="41">
        <f t="shared" si="7"/>
        <v>1.5500000000000003</v>
      </c>
      <c r="L46" s="42">
        <f t="shared" si="2"/>
        <v>155.00000000000003</v>
      </c>
      <c r="M46" s="32" t="s">
        <v>203</v>
      </c>
      <c r="N46" s="17" t="str">
        <f t="shared" si="3"/>
        <v>00</v>
      </c>
      <c r="O46" s="43" t="str">
        <f t="shared" si="8"/>
        <v>000000155</v>
      </c>
      <c r="P46" s="41" t="str">
        <f t="shared" si="5"/>
        <v>000000155</v>
      </c>
      <c r="Q46" s="44" t="s">
        <v>204</v>
      </c>
    </row>
    <row r="47" spans="1:17" x14ac:dyDescent="0.25">
      <c r="A47" s="36" t="str">
        <f t="shared" si="6"/>
        <v>1000000000162017080204110000000000000000028</v>
      </c>
      <c r="B47" s="37">
        <v>10</v>
      </c>
      <c r="C47" s="32" t="s">
        <v>200</v>
      </c>
      <c r="D47" s="12">
        <v>16</v>
      </c>
      <c r="E47" s="12" t="str">
        <f t="shared" si="0"/>
        <v>0</v>
      </c>
      <c r="F47" s="12" t="str">
        <f t="shared" si="1"/>
        <v>0000000016</v>
      </c>
      <c r="G47" s="38">
        <v>201708</v>
      </c>
      <c r="H47" s="39" t="s">
        <v>205</v>
      </c>
      <c r="I47" s="40" t="s">
        <v>202</v>
      </c>
      <c r="J47" s="45">
        <v>0</v>
      </c>
      <c r="K47" s="41">
        <f t="shared" si="7"/>
        <v>0</v>
      </c>
      <c r="L47" s="42">
        <f t="shared" si="2"/>
        <v>0</v>
      </c>
      <c r="M47" s="32" t="s">
        <v>203</v>
      </c>
      <c r="N47" s="17" t="str">
        <f t="shared" si="3"/>
        <v>0000</v>
      </c>
      <c r="O47" s="43" t="str">
        <f t="shared" si="8"/>
        <v>000000000</v>
      </c>
      <c r="P47" s="41" t="str">
        <f t="shared" si="5"/>
        <v>000000000</v>
      </c>
      <c r="Q47" s="44" t="s">
        <v>204</v>
      </c>
    </row>
    <row r="48" spans="1:17" x14ac:dyDescent="0.25">
      <c r="A48" s="36" t="str">
        <f t="shared" si="6"/>
        <v>1000000000052017080988110000000360000000028</v>
      </c>
      <c r="B48" s="37">
        <v>10</v>
      </c>
      <c r="C48" s="32" t="s">
        <v>200</v>
      </c>
      <c r="D48" s="12">
        <v>5</v>
      </c>
      <c r="E48" s="12" t="str">
        <f t="shared" si="0"/>
        <v>00</v>
      </c>
      <c r="F48" s="12" t="str">
        <f t="shared" si="1"/>
        <v>0000000005</v>
      </c>
      <c r="G48" s="38">
        <v>201708</v>
      </c>
      <c r="H48" s="39" t="s">
        <v>206</v>
      </c>
      <c r="I48" s="40" t="s">
        <v>202</v>
      </c>
      <c r="J48" s="45">
        <v>1.5277777777777777E-2</v>
      </c>
      <c r="K48" s="41">
        <f t="shared" si="7"/>
        <v>0.36666666666666664</v>
      </c>
      <c r="L48" s="42">
        <f t="shared" si="2"/>
        <v>36.666666666666664</v>
      </c>
      <c r="M48" s="32" t="s">
        <v>203</v>
      </c>
      <c r="N48" s="17" t="str">
        <f t="shared" si="3"/>
        <v>000</v>
      </c>
      <c r="O48" s="43" t="str">
        <f t="shared" si="8"/>
        <v>000000036,6666666666667</v>
      </c>
      <c r="P48" s="41" t="str">
        <f t="shared" si="5"/>
        <v>000000036</v>
      </c>
      <c r="Q48" s="44" t="s">
        <v>204</v>
      </c>
    </row>
    <row r="49" spans="1:17" x14ac:dyDescent="0.25">
      <c r="A49" s="36" t="str">
        <f t="shared" si="6"/>
        <v>1000000000512017080988110000004460000000028</v>
      </c>
      <c r="B49" s="37">
        <v>10</v>
      </c>
      <c r="C49" s="32" t="s">
        <v>200</v>
      </c>
      <c r="D49" s="12">
        <v>51</v>
      </c>
      <c r="E49" s="12" t="str">
        <f t="shared" si="0"/>
        <v>0</v>
      </c>
      <c r="F49" s="12" t="str">
        <f t="shared" si="1"/>
        <v>0000000051</v>
      </c>
      <c r="G49" s="38">
        <v>201708</v>
      </c>
      <c r="H49" s="39" t="s">
        <v>206</v>
      </c>
      <c r="I49" s="40" t="s">
        <v>202</v>
      </c>
      <c r="J49" s="45">
        <v>0.18611111111111112</v>
      </c>
      <c r="K49" s="41">
        <f t="shared" si="7"/>
        <v>4.4666666666666668</v>
      </c>
      <c r="L49" s="42">
        <f t="shared" si="2"/>
        <v>446.66666666666669</v>
      </c>
      <c r="M49" s="32" t="s">
        <v>203</v>
      </c>
      <c r="N49" s="17" t="str">
        <f t="shared" si="3"/>
        <v>00</v>
      </c>
      <c r="O49" s="43" t="str">
        <f t="shared" si="8"/>
        <v>000000446,666666666667</v>
      </c>
      <c r="P49" s="41" t="str">
        <f t="shared" si="5"/>
        <v>000000446</v>
      </c>
      <c r="Q49" s="44" t="s">
        <v>204</v>
      </c>
    </row>
    <row r="50" spans="1:17" x14ac:dyDescent="0.25">
      <c r="A50" s="36" t="str">
        <f t="shared" si="6"/>
        <v>1000000000502017080988110000000000000000028</v>
      </c>
      <c r="B50" s="37">
        <v>10</v>
      </c>
      <c r="C50" s="32" t="s">
        <v>200</v>
      </c>
      <c r="D50" s="12">
        <v>50</v>
      </c>
      <c r="E50" s="12" t="str">
        <f t="shared" si="0"/>
        <v>0</v>
      </c>
      <c r="F50" s="12" t="str">
        <f t="shared" si="1"/>
        <v>0000000050</v>
      </c>
      <c r="G50" s="38">
        <v>201708</v>
      </c>
      <c r="H50" s="39" t="s">
        <v>206</v>
      </c>
      <c r="I50" s="40" t="s">
        <v>202</v>
      </c>
      <c r="J50" s="45">
        <v>0</v>
      </c>
      <c r="K50" s="41">
        <f t="shared" si="7"/>
        <v>0</v>
      </c>
      <c r="L50" s="42">
        <f t="shared" si="2"/>
        <v>0</v>
      </c>
      <c r="M50" s="32" t="s">
        <v>203</v>
      </c>
      <c r="N50" s="17" t="str">
        <f t="shared" si="3"/>
        <v>0000</v>
      </c>
      <c r="O50" s="43" t="str">
        <f t="shared" si="8"/>
        <v>000000000</v>
      </c>
      <c r="P50" s="41" t="str">
        <f t="shared" si="5"/>
        <v>000000000</v>
      </c>
      <c r="Q50" s="44" t="s">
        <v>204</v>
      </c>
    </row>
    <row r="51" spans="1:17" x14ac:dyDescent="0.25">
      <c r="A51" s="36" t="str">
        <f t="shared" si="6"/>
        <v>1000000000732017080988110000000230000000028</v>
      </c>
      <c r="B51" s="37">
        <v>10</v>
      </c>
      <c r="C51" s="32" t="s">
        <v>200</v>
      </c>
      <c r="D51" s="12">
        <v>73</v>
      </c>
      <c r="E51" s="12" t="str">
        <f t="shared" si="0"/>
        <v>0</v>
      </c>
      <c r="F51" s="12" t="str">
        <f t="shared" si="1"/>
        <v>0000000073</v>
      </c>
      <c r="G51" s="38">
        <v>201708</v>
      </c>
      <c r="H51" s="39" t="s">
        <v>206</v>
      </c>
      <c r="I51" s="40" t="s">
        <v>202</v>
      </c>
      <c r="J51" s="45">
        <v>9.7222222222222224E-3</v>
      </c>
      <c r="K51" s="41">
        <f t="shared" si="7"/>
        <v>0.23333333333333334</v>
      </c>
      <c r="L51" s="42">
        <f t="shared" si="2"/>
        <v>23.333333333333332</v>
      </c>
      <c r="M51" s="32" t="s">
        <v>203</v>
      </c>
      <c r="N51" s="17" t="str">
        <f t="shared" si="3"/>
        <v>000</v>
      </c>
      <c r="O51" s="43" t="str">
        <f t="shared" si="8"/>
        <v>000000023,3333333333333</v>
      </c>
      <c r="P51" s="41" t="str">
        <f t="shared" si="5"/>
        <v>000000023</v>
      </c>
      <c r="Q51" s="44" t="s">
        <v>204</v>
      </c>
    </row>
    <row r="52" spans="1:17" x14ac:dyDescent="0.25">
      <c r="A52" s="36" t="str">
        <f t="shared" si="6"/>
        <v>1000000000332017080988110000000750000000028</v>
      </c>
      <c r="B52" s="37">
        <v>10</v>
      </c>
      <c r="C52" s="32" t="s">
        <v>200</v>
      </c>
      <c r="D52" s="12">
        <v>33</v>
      </c>
      <c r="E52" s="12" t="str">
        <f t="shared" si="0"/>
        <v>0</v>
      </c>
      <c r="F52" s="12" t="str">
        <f t="shared" si="1"/>
        <v>0000000033</v>
      </c>
      <c r="G52" s="38">
        <v>201708</v>
      </c>
      <c r="H52" s="39" t="s">
        <v>206</v>
      </c>
      <c r="I52" s="40" t="s">
        <v>202</v>
      </c>
      <c r="J52" s="45">
        <v>3.125E-2</v>
      </c>
      <c r="K52" s="41">
        <f t="shared" si="7"/>
        <v>0.75</v>
      </c>
      <c r="L52" s="42">
        <f t="shared" si="2"/>
        <v>75</v>
      </c>
      <c r="M52" s="32" t="s">
        <v>203</v>
      </c>
      <c r="N52" s="17" t="str">
        <f t="shared" si="3"/>
        <v>000</v>
      </c>
      <c r="O52" s="43" t="str">
        <f t="shared" si="8"/>
        <v>000000075</v>
      </c>
      <c r="P52" s="41" t="str">
        <f t="shared" si="5"/>
        <v>000000075</v>
      </c>
      <c r="Q52" s="44" t="s">
        <v>204</v>
      </c>
    </row>
    <row r="53" spans="1:17" x14ac:dyDescent="0.25">
      <c r="A53" s="36" t="str">
        <f t="shared" si="6"/>
        <v>1000000000722017080988110000001250000000028</v>
      </c>
      <c r="B53" s="37">
        <v>10</v>
      </c>
      <c r="C53" s="32" t="s">
        <v>200</v>
      </c>
      <c r="D53" s="12">
        <v>72</v>
      </c>
      <c r="E53" s="12" t="str">
        <f t="shared" si="0"/>
        <v>0</v>
      </c>
      <c r="F53" s="12" t="str">
        <f t="shared" si="1"/>
        <v>0000000072</v>
      </c>
      <c r="G53" s="38">
        <v>201708</v>
      </c>
      <c r="H53" s="39" t="s">
        <v>206</v>
      </c>
      <c r="I53" s="40" t="s">
        <v>202</v>
      </c>
      <c r="J53" s="45">
        <v>5.2083333333333336E-2</v>
      </c>
      <c r="K53" s="41">
        <f t="shared" si="7"/>
        <v>1.25</v>
      </c>
      <c r="L53" s="42">
        <f t="shared" si="2"/>
        <v>125</v>
      </c>
      <c r="M53" s="32" t="s">
        <v>203</v>
      </c>
      <c r="N53" s="17" t="str">
        <f t="shared" si="3"/>
        <v>00</v>
      </c>
      <c r="O53" s="43" t="str">
        <f t="shared" si="8"/>
        <v>000000125</v>
      </c>
      <c r="P53" s="41" t="str">
        <f t="shared" si="5"/>
        <v>000000125</v>
      </c>
      <c r="Q53" s="44" t="s">
        <v>204</v>
      </c>
    </row>
    <row r="54" spans="1:17" x14ac:dyDescent="0.25">
      <c r="A54" s="36" t="str">
        <f t="shared" si="6"/>
        <v>1000000000072017080988110000000000000000028</v>
      </c>
      <c r="B54" s="37">
        <v>10</v>
      </c>
      <c r="C54" s="32" t="s">
        <v>200</v>
      </c>
      <c r="D54" s="12">
        <v>7</v>
      </c>
      <c r="E54" s="12" t="str">
        <f t="shared" si="0"/>
        <v>00</v>
      </c>
      <c r="F54" s="12" t="str">
        <f t="shared" si="1"/>
        <v>0000000007</v>
      </c>
      <c r="G54" s="38">
        <v>201708</v>
      </c>
      <c r="H54" s="39" t="s">
        <v>206</v>
      </c>
      <c r="I54" s="40" t="s">
        <v>202</v>
      </c>
      <c r="J54" s="45">
        <v>0</v>
      </c>
      <c r="K54" s="41">
        <f t="shared" si="7"/>
        <v>0</v>
      </c>
      <c r="L54" s="42">
        <f t="shared" si="2"/>
        <v>0</v>
      </c>
      <c r="M54" s="32" t="s">
        <v>203</v>
      </c>
      <c r="N54" s="17" t="str">
        <f t="shared" si="3"/>
        <v>0000</v>
      </c>
      <c r="O54" s="43" t="str">
        <f t="shared" si="8"/>
        <v>000000000</v>
      </c>
      <c r="P54" s="41" t="str">
        <f t="shared" si="5"/>
        <v>000000000</v>
      </c>
      <c r="Q54" s="44" t="s">
        <v>204</v>
      </c>
    </row>
    <row r="55" spans="1:17" x14ac:dyDescent="0.25">
      <c r="A55" s="36" t="str">
        <f t="shared" si="6"/>
        <v>1000000000192017080988110000003380000000028</v>
      </c>
      <c r="B55" s="37">
        <v>10</v>
      </c>
      <c r="C55" s="32" t="s">
        <v>200</v>
      </c>
      <c r="D55" s="12">
        <v>19</v>
      </c>
      <c r="E55" s="12" t="str">
        <f t="shared" si="0"/>
        <v>0</v>
      </c>
      <c r="F55" s="12" t="str">
        <f t="shared" si="1"/>
        <v>0000000019</v>
      </c>
      <c r="G55" s="38">
        <v>201708</v>
      </c>
      <c r="H55" s="39" t="s">
        <v>206</v>
      </c>
      <c r="I55" s="40" t="s">
        <v>202</v>
      </c>
      <c r="J55" s="45">
        <v>0.14097222222222222</v>
      </c>
      <c r="K55" s="41">
        <f t="shared" si="7"/>
        <v>3.3833333333333333</v>
      </c>
      <c r="L55" s="42">
        <f t="shared" si="2"/>
        <v>338.33333333333331</v>
      </c>
      <c r="M55" s="32" t="s">
        <v>203</v>
      </c>
      <c r="N55" s="17" t="str">
        <f t="shared" si="3"/>
        <v>00</v>
      </c>
      <c r="O55" s="43" t="str">
        <f t="shared" si="8"/>
        <v>000000338,333333333333</v>
      </c>
      <c r="P55" s="41" t="str">
        <f t="shared" si="5"/>
        <v>000000338</v>
      </c>
      <c r="Q55" s="44" t="s">
        <v>204</v>
      </c>
    </row>
    <row r="56" spans="1:17" x14ac:dyDescent="0.25">
      <c r="A56" s="36" t="str">
        <f t="shared" si="6"/>
        <v>1000000000152017080988110000000380000000028</v>
      </c>
      <c r="B56" s="37">
        <v>10</v>
      </c>
      <c r="C56" s="32" t="s">
        <v>200</v>
      </c>
      <c r="D56" s="12">
        <v>15</v>
      </c>
      <c r="E56" s="12" t="str">
        <f t="shared" si="0"/>
        <v>0</v>
      </c>
      <c r="F56" s="12" t="str">
        <f t="shared" si="1"/>
        <v>0000000015</v>
      </c>
      <c r="G56" s="38">
        <v>201708</v>
      </c>
      <c r="H56" s="39" t="s">
        <v>206</v>
      </c>
      <c r="I56" s="40" t="s">
        <v>202</v>
      </c>
      <c r="J56" s="45">
        <v>1.5972222222222224E-2</v>
      </c>
      <c r="K56" s="41">
        <f t="shared" si="7"/>
        <v>0.38333333333333341</v>
      </c>
      <c r="L56" s="42">
        <f t="shared" si="2"/>
        <v>38.333333333333343</v>
      </c>
      <c r="M56" s="32" t="s">
        <v>203</v>
      </c>
      <c r="N56" s="17" t="str">
        <f t="shared" si="3"/>
        <v>000</v>
      </c>
      <c r="O56" s="43" t="str">
        <f t="shared" si="8"/>
        <v>000000038,3333333333333</v>
      </c>
      <c r="P56" s="41" t="str">
        <f t="shared" si="5"/>
        <v>000000038</v>
      </c>
      <c r="Q56" s="44" t="s">
        <v>204</v>
      </c>
    </row>
    <row r="57" spans="1:17" x14ac:dyDescent="0.25">
      <c r="A57" s="36" t="str">
        <f t="shared" si="6"/>
        <v>1000000000702017080988110000000000000000028</v>
      </c>
      <c r="B57" s="37">
        <v>10</v>
      </c>
      <c r="C57" s="32" t="s">
        <v>200</v>
      </c>
      <c r="D57" s="12">
        <v>70</v>
      </c>
      <c r="E57" s="12" t="str">
        <f t="shared" si="0"/>
        <v>0</v>
      </c>
      <c r="F57" s="12" t="str">
        <f t="shared" si="1"/>
        <v>0000000070</v>
      </c>
      <c r="G57" s="38">
        <v>201708</v>
      </c>
      <c r="H57" s="39" t="s">
        <v>206</v>
      </c>
      <c r="I57" s="40" t="s">
        <v>202</v>
      </c>
      <c r="J57" s="45">
        <v>0</v>
      </c>
      <c r="K57" s="41">
        <f t="shared" si="7"/>
        <v>0</v>
      </c>
      <c r="L57" s="42">
        <f t="shared" si="2"/>
        <v>0</v>
      </c>
      <c r="M57" s="32" t="s">
        <v>203</v>
      </c>
      <c r="N57" s="17" t="str">
        <f t="shared" si="3"/>
        <v>0000</v>
      </c>
      <c r="O57" s="43" t="str">
        <f t="shared" si="8"/>
        <v>000000000</v>
      </c>
      <c r="P57" s="41" t="str">
        <f t="shared" si="5"/>
        <v>000000000</v>
      </c>
      <c r="Q57" s="44" t="s">
        <v>204</v>
      </c>
    </row>
    <row r="58" spans="1:17" x14ac:dyDescent="0.25">
      <c r="A58" s="36" t="str">
        <f t="shared" si="6"/>
        <v>1000000000242017080988110000000230000000028</v>
      </c>
      <c r="B58" s="37">
        <v>10</v>
      </c>
      <c r="C58" s="32" t="s">
        <v>200</v>
      </c>
      <c r="D58" s="12">
        <v>24</v>
      </c>
      <c r="E58" s="12" t="str">
        <f t="shared" si="0"/>
        <v>0</v>
      </c>
      <c r="F58" s="12" t="str">
        <f t="shared" si="1"/>
        <v>0000000024</v>
      </c>
      <c r="G58" s="38">
        <v>201708</v>
      </c>
      <c r="H58" s="39" t="s">
        <v>206</v>
      </c>
      <c r="I58" s="40" t="s">
        <v>202</v>
      </c>
      <c r="J58" s="45">
        <v>9.7222222222222224E-3</v>
      </c>
      <c r="K58" s="41">
        <f t="shared" si="7"/>
        <v>0.23333333333333334</v>
      </c>
      <c r="L58" s="42">
        <f t="shared" si="2"/>
        <v>23.333333333333332</v>
      </c>
      <c r="M58" s="32" t="s">
        <v>203</v>
      </c>
      <c r="N58" s="17" t="str">
        <f t="shared" si="3"/>
        <v>000</v>
      </c>
      <c r="O58" s="43" t="str">
        <f t="shared" si="8"/>
        <v>000000023,3333333333333</v>
      </c>
      <c r="P58" s="41" t="str">
        <f t="shared" si="5"/>
        <v>000000023</v>
      </c>
      <c r="Q58" s="44" t="s">
        <v>204</v>
      </c>
    </row>
    <row r="59" spans="1:17" x14ac:dyDescent="0.25">
      <c r="A59" s="36" t="str">
        <f t="shared" si="6"/>
        <v>1000000000712017080988110000000230000000028</v>
      </c>
      <c r="B59" s="37">
        <v>10</v>
      </c>
      <c r="C59" s="32" t="s">
        <v>200</v>
      </c>
      <c r="D59" s="12">
        <v>71</v>
      </c>
      <c r="E59" s="12" t="str">
        <f t="shared" si="0"/>
        <v>0</v>
      </c>
      <c r="F59" s="12" t="str">
        <f t="shared" si="1"/>
        <v>0000000071</v>
      </c>
      <c r="G59" s="38">
        <v>201708</v>
      </c>
      <c r="H59" s="39" t="s">
        <v>206</v>
      </c>
      <c r="I59" s="40" t="s">
        <v>202</v>
      </c>
      <c r="J59" s="45">
        <v>9.7222222222222224E-3</v>
      </c>
      <c r="K59" s="41">
        <f t="shared" si="7"/>
        <v>0.23333333333333334</v>
      </c>
      <c r="L59" s="42">
        <f t="shared" si="2"/>
        <v>23.333333333333332</v>
      </c>
      <c r="M59" s="32" t="s">
        <v>203</v>
      </c>
      <c r="N59" s="17" t="str">
        <f t="shared" si="3"/>
        <v>000</v>
      </c>
      <c r="O59" s="43" t="str">
        <f t="shared" si="8"/>
        <v>000000023,3333333333333</v>
      </c>
      <c r="P59" s="41" t="str">
        <f t="shared" si="5"/>
        <v>000000023</v>
      </c>
      <c r="Q59" s="44" t="s">
        <v>204</v>
      </c>
    </row>
    <row r="60" spans="1:17" x14ac:dyDescent="0.25">
      <c r="A60" s="36" t="str">
        <f t="shared" si="6"/>
        <v>1000000000342017080988110000000610000000028</v>
      </c>
      <c r="B60" s="37">
        <v>10</v>
      </c>
      <c r="C60" s="32" t="s">
        <v>200</v>
      </c>
      <c r="D60" s="12">
        <v>34</v>
      </c>
      <c r="E60" s="12" t="str">
        <f t="shared" si="0"/>
        <v>0</v>
      </c>
      <c r="F60" s="12" t="str">
        <f t="shared" si="1"/>
        <v>0000000034</v>
      </c>
      <c r="G60" s="38">
        <v>201708</v>
      </c>
      <c r="H60" s="39" t="s">
        <v>206</v>
      </c>
      <c r="I60" s="40" t="s">
        <v>202</v>
      </c>
      <c r="J60" s="45">
        <v>2.5694444444444447E-2</v>
      </c>
      <c r="K60" s="41">
        <f t="shared" si="7"/>
        <v>0.6166666666666667</v>
      </c>
      <c r="L60" s="42">
        <f t="shared" si="2"/>
        <v>61.666666666666671</v>
      </c>
      <c r="M60" s="32" t="s">
        <v>203</v>
      </c>
      <c r="N60" s="17" t="str">
        <f t="shared" si="3"/>
        <v>000</v>
      </c>
      <c r="O60" s="43" t="str">
        <f t="shared" si="8"/>
        <v>000000061,6666666666667</v>
      </c>
      <c r="P60" s="41" t="str">
        <f t="shared" si="5"/>
        <v>000000061</v>
      </c>
      <c r="Q60" s="44" t="s">
        <v>204</v>
      </c>
    </row>
    <row r="61" spans="1:17" x14ac:dyDescent="0.25">
      <c r="A61" s="36" t="str">
        <f t="shared" si="6"/>
        <v>1000000000092017080988110000000000000000028</v>
      </c>
      <c r="B61" s="37">
        <v>10</v>
      </c>
      <c r="C61" s="32" t="s">
        <v>200</v>
      </c>
      <c r="D61" s="12">
        <v>9</v>
      </c>
      <c r="E61" s="12" t="str">
        <f t="shared" si="0"/>
        <v>00</v>
      </c>
      <c r="F61" s="12" t="str">
        <f t="shared" si="1"/>
        <v>0000000009</v>
      </c>
      <c r="G61" s="38">
        <v>201708</v>
      </c>
      <c r="H61" s="39" t="s">
        <v>206</v>
      </c>
      <c r="I61" s="40" t="s">
        <v>202</v>
      </c>
      <c r="J61" s="45">
        <v>0</v>
      </c>
      <c r="K61" s="41">
        <f t="shared" si="7"/>
        <v>0</v>
      </c>
      <c r="L61" s="42">
        <f t="shared" si="2"/>
        <v>0</v>
      </c>
      <c r="M61" s="32" t="s">
        <v>203</v>
      </c>
      <c r="N61" s="17" t="str">
        <f t="shared" si="3"/>
        <v>0000</v>
      </c>
      <c r="O61" s="43" t="str">
        <f t="shared" si="8"/>
        <v>000000000</v>
      </c>
      <c r="P61" s="41" t="str">
        <f t="shared" si="5"/>
        <v>000000000</v>
      </c>
      <c r="Q61" s="44" t="s">
        <v>204</v>
      </c>
    </row>
    <row r="62" spans="1:17" x14ac:dyDescent="0.25">
      <c r="A62" s="36" t="str">
        <f t="shared" si="6"/>
        <v>1000000000352017080988110000000330000000028</v>
      </c>
      <c r="B62" s="37">
        <v>10</v>
      </c>
      <c r="C62" s="32" t="s">
        <v>200</v>
      </c>
      <c r="D62" s="12">
        <v>35</v>
      </c>
      <c r="E62" s="12" t="str">
        <f t="shared" si="0"/>
        <v>0</v>
      </c>
      <c r="F62" s="12" t="str">
        <f t="shared" si="1"/>
        <v>0000000035</v>
      </c>
      <c r="G62" s="38">
        <v>201708</v>
      </c>
      <c r="H62" s="39" t="s">
        <v>206</v>
      </c>
      <c r="I62" s="40" t="s">
        <v>202</v>
      </c>
      <c r="J62" s="45">
        <v>1.3888888888888888E-2</v>
      </c>
      <c r="K62" s="41">
        <f t="shared" si="7"/>
        <v>0.33333333333333331</v>
      </c>
      <c r="L62" s="42">
        <f t="shared" si="2"/>
        <v>33.333333333333329</v>
      </c>
      <c r="M62" s="32" t="s">
        <v>203</v>
      </c>
      <c r="N62" s="17" t="str">
        <f t="shared" si="3"/>
        <v>000</v>
      </c>
      <c r="O62" s="43" t="str">
        <f t="shared" si="8"/>
        <v>000000033,3333333333333</v>
      </c>
      <c r="P62" s="41" t="str">
        <f t="shared" si="5"/>
        <v>000000033</v>
      </c>
      <c r="Q62" s="44" t="s">
        <v>204</v>
      </c>
    </row>
    <row r="63" spans="1:17" x14ac:dyDescent="0.25">
      <c r="A63" s="36" t="str">
        <f t="shared" si="6"/>
        <v>1000000000432017080988110000000000000000028</v>
      </c>
      <c r="B63" s="37">
        <v>10</v>
      </c>
      <c r="C63" s="32" t="s">
        <v>200</v>
      </c>
      <c r="D63" s="12">
        <v>43</v>
      </c>
      <c r="E63" s="12" t="str">
        <f t="shared" si="0"/>
        <v>0</v>
      </c>
      <c r="F63" s="12" t="str">
        <f t="shared" si="1"/>
        <v>0000000043</v>
      </c>
      <c r="G63" s="38">
        <v>201708</v>
      </c>
      <c r="H63" s="39" t="s">
        <v>206</v>
      </c>
      <c r="I63" s="40" t="s">
        <v>202</v>
      </c>
      <c r="J63" s="45">
        <v>0</v>
      </c>
      <c r="K63" s="41">
        <f t="shared" si="7"/>
        <v>0</v>
      </c>
      <c r="L63" s="42">
        <f t="shared" si="2"/>
        <v>0</v>
      </c>
      <c r="M63" s="32" t="s">
        <v>203</v>
      </c>
      <c r="N63" s="17" t="str">
        <f t="shared" si="3"/>
        <v>0000</v>
      </c>
      <c r="O63" s="43" t="str">
        <f t="shared" si="8"/>
        <v>000000000</v>
      </c>
      <c r="P63" s="41" t="str">
        <f t="shared" si="5"/>
        <v>000000000</v>
      </c>
      <c r="Q63" s="44" t="s">
        <v>204</v>
      </c>
    </row>
    <row r="64" spans="1:17" x14ac:dyDescent="0.25">
      <c r="A64" s="36" t="str">
        <f t="shared" si="6"/>
        <v>1000000000772017080988110000000000000000028</v>
      </c>
      <c r="B64" s="37">
        <v>10</v>
      </c>
      <c r="C64" s="32" t="s">
        <v>200</v>
      </c>
      <c r="D64" s="12">
        <v>77</v>
      </c>
      <c r="E64" s="12" t="str">
        <f t="shared" si="0"/>
        <v>0</v>
      </c>
      <c r="F64" s="12" t="str">
        <f t="shared" si="1"/>
        <v>0000000077</v>
      </c>
      <c r="G64" s="38">
        <v>201708</v>
      </c>
      <c r="H64" s="39" t="s">
        <v>206</v>
      </c>
      <c r="I64" s="40" t="s">
        <v>202</v>
      </c>
      <c r="J64" s="45">
        <v>0</v>
      </c>
      <c r="K64" s="41">
        <f t="shared" si="7"/>
        <v>0</v>
      </c>
      <c r="L64" s="42">
        <f t="shared" si="2"/>
        <v>0</v>
      </c>
      <c r="M64" s="32" t="s">
        <v>203</v>
      </c>
      <c r="N64" s="17" t="str">
        <f t="shared" si="3"/>
        <v>0000</v>
      </c>
      <c r="O64" s="43" t="str">
        <f t="shared" si="8"/>
        <v>000000000</v>
      </c>
      <c r="P64" s="41" t="str">
        <f t="shared" si="5"/>
        <v>000000000</v>
      </c>
      <c r="Q64" s="44" t="s">
        <v>204</v>
      </c>
    </row>
    <row r="65" spans="1:17" x14ac:dyDescent="0.25">
      <c r="A65" s="36" t="str">
        <f t="shared" si="6"/>
        <v>1000000000422017080988110000000580000000028</v>
      </c>
      <c r="B65" s="37">
        <v>10</v>
      </c>
      <c r="C65" s="32" t="s">
        <v>200</v>
      </c>
      <c r="D65" s="12">
        <v>42</v>
      </c>
      <c r="E65" s="12" t="str">
        <f t="shared" si="0"/>
        <v>0</v>
      </c>
      <c r="F65" s="12" t="str">
        <f t="shared" si="1"/>
        <v>0000000042</v>
      </c>
      <c r="G65" s="38">
        <v>201708</v>
      </c>
      <c r="H65" s="39" t="s">
        <v>206</v>
      </c>
      <c r="I65" s="40" t="s">
        <v>202</v>
      </c>
      <c r="J65" s="45">
        <v>2.4305555555555556E-2</v>
      </c>
      <c r="K65" s="41">
        <f t="shared" si="7"/>
        <v>0.58333333333333337</v>
      </c>
      <c r="L65" s="42">
        <f t="shared" si="2"/>
        <v>58.333333333333336</v>
      </c>
      <c r="M65" s="32" t="s">
        <v>203</v>
      </c>
      <c r="N65" s="17" t="str">
        <f t="shared" si="3"/>
        <v>000</v>
      </c>
      <c r="O65" s="43" t="str">
        <f t="shared" si="8"/>
        <v>000000058,3333333333333</v>
      </c>
      <c r="P65" s="41" t="str">
        <f t="shared" si="5"/>
        <v>000000058</v>
      </c>
      <c r="Q65" s="44" t="s">
        <v>204</v>
      </c>
    </row>
    <row r="66" spans="1:17" x14ac:dyDescent="0.25">
      <c r="A66" s="36" t="str">
        <f t="shared" si="6"/>
        <v>1000000000442017080988110000007030000000028</v>
      </c>
      <c r="B66" s="37">
        <v>10</v>
      </c>
      <c r="C66" s="32" t="s">
        <v>200</v>
      </c>
      <c r="D66" s="12">
        <v>44</v>
      </c>
      <c r="E66" s="12" t="str">
        <f t="shared" si="0"/>
        <v>0</v>
      </c>
      <c r="F66" s="12" t="str">
        <f t="shared" si="1"/>
        <v>0000000044</v>
      </c>
      <c r="G66" s="38">
        <v>201708</v>
      </c>
      <c r="H66" s="39" t="s">
        <v>206</v>
      </c>
      <c r="I66" s="40" t="s">
        <v>202</v>
      </c>
      <c r="J66" s="45">
        <v>0.29305555555555557</v>
      </c>
      <c r="K66" s="41">
        <f t="shared" si="7"/>
        <v>7.0333333333333332</v>
      </c>
      <c r="L66" s="42">
        <f t="shared" si="2"/>
        <v>703.33333333333337</v>
      </c>
      <c r="M66" s="32" t="s">
        <v>203</v>
      </c>
      <c r="N66" s="17" t="str">
        <f t="shared" si="3"/>
        <v>00</v>
      </c>
      <c r="O66" s="43" t="str">
        <f t="shared" si="8"/>
        <v>000000703,333333333333</v>
      </c>
      <c r="P66" s="41" t="str">
        <f t="shared" si="5"/>
        <v>000000703</v>
      </c>
      <c r="Q66" s="44" t="s">
        <v>204</v>
      </c>
    </row>
    <row r="67" spans="1:17" x14ac:dyDescent="0.25">
      <c r="A67" s="36" t="str">
        <f t="shared" si="6"/>
        <v>1000000000392017080988110000000360000000028</v>
      </c>
      <c r="B67" s="37">
        <v>10</v>
      </c>
      <c r="C67" s="32" t="s">
        <v>200</v>
      </c>
      <c r="D67" s="12">
        <v>39</v>
      </c>
      <c r="E67" s="12" t="str">
        <f t="shared" si="0"/>
        <v>0</v>
      </c>
      <c r="F67" s="12" t="str">
        <f t="shared" si="1"/>
        <v>0000000039</v>
      </c>
      <c r="G67" s="38">
        <v>201708</v>
      </c>
      <c r="H67" s="39" t="s">
        <v>206</v>
      </c>
      <c r="I67" s="40" t="s">
        <v>202</v>
      </c>
      <c r="J67" s="45">
        <v>1.5277777777777777E-2</v>
      </c>
      <c r="K67" s="41">
        <f t="shared" si="7"/>
        <v>0.36666666666666664</v>
      </c>
      <c r="L67" s="42">
        <f t="shared" si="2"/>
        <v>36.666666666666664</v>
      </c>
      <c r="M67" s="32" t="s">
        <v>203</v>
      </c>
      <c r="N67" s="17" t="str">
        <f t="shared" si="3"/>
        <v>000</v>
      </c>
      <c r="O67" s="43" t="str">
        <f t="shared" si="8"/>
        <v>000000036,6666666666667</v>
      </c>
      <c r="P67" s="41" t="str">
        <f t="shared" si="5"/>
        <v>000000036</v>
      </c>
      <c r="Q67" s="44" t="s">
        <v>204</v>
      </c>
    </row>
    <row r="68" spans="1:17" x14ac:dyDescent="0.25">
      <c r="A68" s="36" t="str">
        <f t="shared" si="6"/>
        <v>1000000000142017080988110000000860000000028</v>
      </c>
      <c r="B68" s="37">
        <v>10</v>
      </c>
      <c r="C68" s="32" t="s">
        <v>200</v>
      </c>
      <c r="D68" s="12">
        <v>14</v>
      </c>
      <c r="E68" s="12" t="str">
        <f t="shared" si="0"/>
        <v>0</v>
      </c>
      <c r="F68" s="12" t="str">
        <f t="shared" si="1"/>
        <v>0000000014</v>
      </c>
      <c r="G68" s="38">
        <v>201708</v>
      </c>
      <c r="H68" s="39" t="s">
        <v>206</v>
      </c>
      <c r="I68" s="40" t="s">
        <v>202</v>
      </c>
      <c r="J68" s="45">
        <v>3.6111111111111115E-2</v>
      </c>
      <c r="K68" s="41">
        <f t="shared" si="7"/>
        <v>0.8666666666666667</v>
      </c>
      <c r="L68" s="42">
        <f t="shared" si="2"/>
        <v>86.666666666666671</v>
      </c>
      <c r="M68" s="32" t="s">
        <v>203</v>
      </c>
      <c r="N68" s="17" t="str">
        <f t="shared" si="3"/>
        <v>000</v>
      </c>
      <c r="O68" s="43" t="str">
        <f t="shared" si="8"/>
        <v>000000086,6666666666667</v>
      </c>
      <c r="P68" s="41" t="str">
        <f t="shared" si="5"/>
        <v>000000086</v>
      </c>
      <c r="Q68" s="44" t="s">
        <v>204</v>
      </c>
    </row>
    <row r="69" spans="1:17" x14ac:dyDescent="0.25">
      <c r="A69" s="36" t="str">
        <f t="shared" si="6"/>
        <v>1000000000402017080988110000001510000000028</v>
      </c>
      <c r="B69" s="37">
        <v>10</v>
      </c>
      <c r="C69" s="32" t="s">
        <v>200</v>
      </c>
      <c r="D69" s="12">
        <v>40</v>
      </c>
      <c r="E69" s="12" t="str">
        <f t="shared" ref="E69:E132" si="9">IF(D69&gt;9,"0",IF(D69&lt;10,"00",0))</f>
        <v>0</v>
      </c>
      <c r="F69" s="12" t="str">
        <f t="shared" si="1"/>
        <v>0000000040</v>
      </c>
      <c r="G69" s="38">
        <v>201708</v>
      </c>
      <c r="H69" s="39" t="s">
        <v>206</v>
      </c>
      <c r="I69" s="40" t="s">
        <v>202</v>
      </c>
      <c r="J69" s="45">
        <v>6.3194444444444442E-2</v>
      </c>
      <c r="K69" s="41">
        <f t="shared" si="7"/>
        <v>1.5166666666666666</v>
      </c>
      <c r="L69" s="42">
        <f t="shared" si="2"/>
        <v>151.66666666666666</v>
      </c>
      <c r="M69" s="32" t="s">
        <v>203</v>
      </c>
      <c r="N69" s="17" t="str">
        <f t="shared" si="3"/>
        <v>00</v>
      </c>
      <c r="O69" s="43" t="str">
        <f t="shared" si="8"/>
        <v>000000151,666666666667</v>
      </c>
      <c r="P69" s="41" t="str">
        <f t="shared" si="5"/>
        <v>000000151</v>
      </c>
      <c r="Q69" s="44" t="s">
        <v>204</v>
      </c>
    </row>
    <row r="70" spans="1:17" x14ac:dyDescent="0.25">
      <c r="A70" s="36" t="str">
        <f t="shared" si="6"/>
        <v>1000000000692017080988110000001300000000028</v>
      </c>
      <c r="B70" s="37">
        <v>10</v>
      </c>
      <c r="C70" s="32" t="s">
        <v>200</v>
      </c>
      <c r="D70" s="12">
        <v>69</v>
      </c>
      <c r="E70" s="12" t="str">
        <f t="shared" si="9"/>
        <v>0</v>
      </c>
      <c r="F70" s="12" t="str">
        <f t="shared" ref="F70:F133" si="10">C70&amp;E70&amp;D70</f>
        <v>0000000069</v>
      </c>
      <c r="G70" s="38">
        <v>201708</v>
      </c>
      <c r="H70" s="39" t="s">
        <v>206</v>
      </c>
      <c r="I70" s="40" t="s">
        <v>202</v>
      </c>
      <c r="J70" s="45">
        <v>5.4166666666666669E-2</v>
      </c>
      <c r="K70" s="41">
        <f t="shared" si="7"/>
        <v>1.3</v>
      </c>
      <c r="L70" s="42">
        <f t="shared" ref="L70:L133" si="11">K70*100</f>
        <v>130</v>
      </c>
      <c r="M70" s="32" t="s">
        <v>203</v>
      </c>
      <c r="N70" s="17" t="str">
        <f t="shared" ref="N70:N133" si="12">IF(L70&lt;=9,"0000",IF(AND(L70&gt;=10,L70&lt;=99),"000",IF(AND(L70&gt;=100,L70&lt;=999),"00",IF(L70&gt;=1000,"0",""))))</f>
        <v>00</v>
      </c>
      <c r="O70" s="43" t="str">
        <f t="shared" si="8"/>
        <v>000000130</v>
      </c>
      <c r="P70" s="41" t="str">
        <f t="shared" ref="P70:P133" si="13">LEFT(O70,9)</f>
        <v>000000130</v>
      </c>
      <c r="Q70" s="44" t="s">
        <v>204</v>
      </c>
    </row>
    <row r="71" spans="1:17" x14ac:dyDescent="0.25">
      <c r="A71" s="36" t="str">
        <f t="shared" ref="A71" si="14">B71&amp;F71&amp;G71&amp;H71&amp;I71&amp;P71&amp;Q71</f>
        <v>1000000000012017080988110000000000000000028</v>
      </c>
      <c r="B71" s="37">
        <v>10</v>
      </c>
      <c r="C71" s="32" t="s">
        <v>200</v>
      </c>
      <c r="D71" s="12">
        <v>1</v>
      </c>
      <c r="E71" s="12" t="str">
        <f t="shared" si="9"/>
        <v>00</v>
      </c>
      <c r="F71" s="12" t="str">
        <f t="shared" si="10"/>
        <v>0000000001</v>
      </c>
      <c r="G71" s="38">
        <v>201708</v>
      </c>
      <c r="H71" s="39" t="s">
        <v>206</v>
      </c>
      <c r="I71" s="40" t="s">
        <v>202</v>
      </c>
      <c r="J71" s="45">
        <v>0</v>
      </c>
      <c r="K71" s="41">
        <f t="shared" si="7"/>
        <v>0</v>
      </c>
      <c r="L71" s="42">
        <f t="shared" si="11"/>
        <v>0</v>
      </c>
      <c r="M71" s="32" t="s">
        <v>203</v>
      </c>
      <c r="N71" s="17" t="str">
        <f t="shared" si="12"/>
        <v>0000</v>
      </c>
      <c r="O71" s="43" t="str">
        <f t="shared" si="8"/>
        <v>000000000</v>
      </c>
      <c r="P71" s="41" t="str">
        <f t="shared" si="13"/>
        <v>000000000</v>
      </c>
      <c r="Q71" s="44" t="s">
        <v>204</v>
      </c>
    </row>
    <row r="72" spans="1:17" x14ac:dyDescent="0.25">
      <c r="A72" s="36" t="str">
        <f>B72&amp;F72&amp;G72&amp;H72&amp;I72&amp;P72&amp;Q72</f>
        <v>1000000000762017080988110000000910000000028</v>
      </c>
      <c r="B72" s="37">
        <v>10</v>
      </c>
      <c r="C72" s="32" t="s">
        <v>200</v>
      </c>
      <c r="D72" s="12">
        <v>76</v>
      </c>
      <c r="E72" s="12" t="str">
        <f t="shared" si="9"/>
        <v>0</v>
      </c>
      <c r="F72" s="12" t="str">
        <f t="shared" si="10"/>
        <v>0000000076</v>
      </c>
      <c r="G72" s="38">
        <v>201708</v>
      </c>
      <c r="H72" s="39" t="s">
        <v>206</v>
      </c>
      <c r="I72" s="40" t="s">
        <v>202</v>
      </c>
      <c r="J72" s="45">
        <v>3.8194444444444441E-2</v>
      </c>
      <c r="K72" s="41">
        <f t="shared" si="7"/>
        <v>0.91666666666666652</v>
      </c>
      <c r="L72" s="42">
        <f t="shared" si="11"/>
        <v>91.666666666666657</v>
      </c>
      <c r="M72" s="32" t="s">
        <v>203</v>
      </c>
      <c r="N72" s="17" t="str">
        <f t="shared" si="12"/>
        <v>000</v>
      </c>
      <c r="O72" s="43" t="str">
        <f t="shared" si="8"/>
        <v>000000091,6666666666667</v>
      </c>
      <c r="P72" s="41" t="str">
        <f t="shared" si="13"/>
        <v>000000091</v>
      </c>
      <c r="Q72" s="44" t="s">
        <v>204</v>
      </c>
    </row>
    <row r="73" spans="1:17" x14ac:dyDescent="0.25">
      <c r="A73" s="36" t="str">
        <f>B73&amp;F73&amp;G73&amp;H73&amp;I73&amp;P73&amp;Q73</f>
        <v>1000000000362017080988110000001910000000028</v>
      </c>
      <c r="B73" s="37">
        <v>10</v>
      </c>
      <c r="C73" s="32" t="s">
        <v>200</v>
      </c>
      <c r="D73" s="12">
        <v>36</v>
      </c>
      <c r="E73" s="12" t="str">
        <f t="shared" si="9"/>
        <v>0</v>
      </c>
      <c r="F73" s="12" t="str">
        <f t="shared" si="10"/>
        <v>0000000036</v>
      </c>
      <c r="G73" s="38">
        <v>201708</v>
      </c>
      <c r="H73" s="39" t="s">
        <v>206</v>
      </c>
      <c r="I73" s="40" t="s">
        <v>202</v>
      </c>
      <c r="J73" s="45">
        <v>7.9861111111111105E-2</v>
      </c>
      <c r="K73" s="41">
        <f t="shared" ref="K73:K136" si="15">J73*24</f>
        <v>1.9166666666666665</v>
      </c>
      <c r="L73" s="42">
        <f t="shared" si="11"/>
        <v>191.66666666666666</v>
      </c>
      <c r="M73" s="32" t="s">
        <v>203</v>
      </c>
      <c r="N73" s="17" t="str">
        <f t="shared" si="12"/>
        <v>00</v>
      </c>
      <c r="O73" s="43" t="str">
        <f t="shared" si="8"/>
        <v>000000191,666666666667</v>
      </c>
      <c r="P73" s="41" t="str">
        <f t="shared" si="13"/>
        <v>000000191</v>
      </c>
      <c r="Q73" s="44" t="s">
        <v>204</v>
      </c>
    </row>
    <row r="74" spans="1:17" x14ac:dyDescent="0.25">
      <c r="A74" s="36" t="str">
        <f>B74&amp;F74&amp;G74&amp;H74&amp;I74&amp;P74&amp;Q74</f>
        <v>1000000000032017080988110000000610000000028</v>
      </c>
      <c r="B74" s="37">
        <v>10</v>
      </c>
      <c r="C74" s="32" t="s">
        <v>200</v>
      </c>
      <c r="D74" s="12">
        <v>3</v>
      </c>
      <c r="E74" s="12" t="str">
        <f t="shared" si="9"/>
        <v>00</v>
      </c>
      <c r="F74" s="12" t="str">
        <f t="shared" si="10"/>
        <v>0000000003</v>
      </c>
      <c r="G74" s="38">
        <v>201708</v>
      </c>
      <c r="H74" s="39" t="s">
        <v>206</v>
      </c>
      <c r="I74" s="40" t="s">
        <v>202</v>
      </c>
      <c r="J74" s="45">
        <v>2.5694444444444447E-2</v>
      </c>
      <c r="K74" s="41">
        <f t="shared" si="15"/>
        <v>0.6166666666666667</v>
      </c>
      <c r="L74" s="42">
        <f t="shared" si="11"/>
        <v>61.666666666666671</v>
      </c>
      <c r="M74" s="32" t="s">
        <v>203</v>
      </c>
      <c r="N74" s="17" t="str">
        <f t="shared" si="12"/>
        <v>000</v>
      </c>
      <c r="O74" s="43" t="str">
        <f t="shared" si="8"/>
        <v>000000061,6666666666667</v>
      </c>
      <c r="P74" s="41" t="str">
        <f t="shared" si="13"/>
        <v>000000061</v>
      </c>
      <c r="Q74" s="44" t="s">
        <v>204</v>
      </c>
    </row>
    <row r="75" spans="1:17" x14ac:dyDescent="0.25">
      <c r="A75" s="36" t="str">
        <f t="shared" ref="A75:A138" si="16">B75&amp;F75&amp;G75&amp;H75&amp;I75&amp;P75&amp;Q75</f>
        <v>1000000000172017080988110000000350000000028</v>
      </c>
      <c r="B75" s="37">
        <v>10</v>
      </c>
      <c r="C75" s="32" t="s">
        <v>200</v>
      </c>
      <c r="D75" s="12">
        <v>17</v>
      </c>
      <c r="E75" s="12" t="str">
        <f t="shared" si="9"/>
        <v>0</v>
      </c>
      <c r="F75" s="12" t="str">
        <f t="shared" si="10"/>
        <v>0000000017</v>
      </c>
      <c r="G75" s="38">
        <v>201708</v>
      </c>
      <c r="H75" s="39" t="s">
        <v>206</v>
      </c>
      <c r="I75" s="40" t="s">
        <v>202</v>
      </c>
      <c r="J75" s="45">
        <v>1.4583333333333332E-2</v>
      </c>
      <c r="K75" s="41">
        <f t="shared" si="15"/>
        <v>0.35</v>
      </c>
      <c r="L75" s="42">
        <f t="shared" si="11"/>
        <v>35</v>
      </c>
      <c r="M75" s="32" t="s">
        <v>203</v>
      </c>
      <c r="N75" s="17" t="str">
        <f t="shared" si="12"/>
        <v>000</v>
      </c>
      <c r="O75" s="43" t="str">
        <f t="shared" si="8"/>
        <v>000000035</v>
      </c>
      <c r="P75" s="41" t="str">
        <f t="shared" si="13"/>
        <v>000000035</v>
      </c>
      <c r="Q75" s="44" t="s">
        <v>204</v>
      </c>
    </row>
    <row r="76" spans="1:17" x14ac:dyDescent="0.25">
      <c r="A76" s="36" t="str">
        <f t="shared" si="16"/>
        <v>1000000000372017080988110000000160000000028</v>
      </c>
      <c r="B76" s="37">
        <v>10</v>
      </c>
      <c r="C76" s="32" t="s">
        <v>200</v>
      </c>
      <c r="D76" s="12">
        <v>37</v>
      </c>
      <c r="E76" s="12" t="str">
        <f t="shared" si="9"/>
        <v>0</v>
      </c>
      <c r="F76" s="12" t="str">
        <f t="shared" si="10"/>
        <v>0000000037</v>
      </c>
      <c r="G76" s="38">
        <v>201708</v>
      </c>
      <c r="H76" s="39" t="s">
        <v>206</v>
      </c>
      <c r="I76" s="40" t="s">
        <v>202</v>
      </c>
      <c r="J76" s="45">
        <v>6.9444444444444441E-3</v>
      </c>
      <c r="K76" s="41">
        <f t="shared" si="15"/>
        <v>0.16666666666666666</v>
      </c>
      <c r="L76" s="42">
        <f t="shared" si="11"/>
        <v>16.666666666666664</v>
      </c>
      <c r="M76" s="32" t="s">
        <v>203</v>
      </c>
      <c r="N76" s="17" t="str">
        <f t="shared" si="12"/>
        <v>000</v>
      </c>
      <c r="O76" s="43" t="str">
        <f t="shared" si="8"/>
        <v>000000016,6666666666667</v>
      </c>
      <c r="P76" s="41" t="str">
        <f t="shared" si="13"/>
        <v>000000016</v>
      </c>
      <c r="Q76" s="44" t="s">
        <v>204</v>
      </c>
    </row>
    <row r="77" spans="1:17" x14ac:dyDescent="0.25">
      <c r="A77" s="36" t="str">
        <f t="shared" si="16"/>
        <v>1000000000062017080988110000000200000000028</v>
      </c>
      <c r="B77" s="37">
        <v>10</v>
      </c>
      <c r="C77" s="32" t="s">
        <v>200</v>
      </c>
      <c r="D77" s="12">
        <v>6</v>
      </c>
      <c r="E77" s="12" t="str">
        <f t="shared" si="9"/>
        <v>00</v>
      </c>
      <c r="F77" s="12" t="str">
        <f t="shared" si="10"/>
        <v>0000000006</v>
      </c>
      <c r="G77" s="38">
        <v>201708</v>
      </c>
      <c r="H77" s="39" t="s">
        <v>206</v>
      </c>
      <c r="I77" s="40" t="s">
        <v>202</v>
      </c>
      <c r="J77" s="45">
        <v>8.3333333333333332E-3</v>
      </c>
      <c r="K77" s="41">
        <f t="shared" si="15"/>
        <v>0.2</v>
      </c>
      <c r="L77" s="42">
        <f t="shared" si="11"/>
        <v>20</v>
      </c>
      <c r="M77" s="32" t="s">
        <v>203</v>
      </c>
      <c r="N77" s="17" t="str">
        <f t="shared" si="12"/>
        <v>000</v>
      </c>
      <c r="O77" s="43" t="str">
        <f t="shared" ref="O77:O140" si="17">M77&amp;N77&amp;L77</f>
        <v>000000020</v>
      </c>
      <c r="P77" s="41" t="str">
        <f t="shared" si="13"/>
        <v>000000020</v>
      </c>
      <c r="Q77" s="44" t="s">
        <v>204</v>
      </c>
    </row>
    <row r="78" spans="1:17" x14ac:dyDescent="0.25">
      <c r="A78" s="36" t="str">
        <f t="shared" si="16"/>
        <v>1000000000122017080988110000002250000000028</v>
      </c>
      <c r="B78" s="37">
        <v>10</v>
      </c>
      <c r="C78" s="32" t="s">
        <v>200</v>
      </c>
      <c r="D78" s="12">
        <v>12</v>
      </c>
      <c r="E78" s="12" t="str">
        <f t="shared" si="9"/>
        <v>0</v>
      </c>
      <c r="F78" s="12" t="str">
        <f t="shared" si="10"/>
        <v>0000000012</v>
      </c>
      <c r="G78" s="38">
        <v>201708</v>
      </c>
      <c r="H78" s="39" t="s">
        <v>206</v>
      </c>
      <c r="I78" s="40" t="s">
        <v>202</v>
      </c>
      <c r="J78" s="45">
        <v>9.375E-2</v>
      </c>
      <c r="K78" s="41">
        <f t="shared" si="15"/>
        <v>2.25</v>
      </c>
      <c r="L78" s="42">
        <f t="shared" si="11"/>
        <v>225</v>
      </c>
      <c r="M78" s="32" t="s">
        <v>203</v>
      </c>
      <c r="N78" s="17" t="str">
        <f t="shared" si="12"/>
        <v>00</v>
      </c>
      <c r="O78" s="43" t="str">
        <f t="shared" si="17"/>
        <v>000000225</v>
      </c>
      <c r="P78" s="41" t="str">
        <f t="shared" si="13"/>
        <v>000000225</v>
      </c>
      <c r="Q78" s="44" t="s">
        <v>204</v>
      </c>
    </row>
    <row r="79" spans="1:17" x14ac:dyDescent="0.25">
      <c r="A79" s="36" t="str">
        <f t="shared" si="16"/>
        <v>1000000000802017080988110000000310000000028</v>
      </c>
      <c r="B79" s="37">
        <v>10</v>
      </c>
      <c r="C79" s="32" t="s">
        <v>200</v>
      </c>
      <c r="D79" s="12">
        <v>80</v>
      </c>
      <c r="E79" s="12" t="str">
        <f t="shared" si="9"/>
        <v>0</v>
      </c>
      <c r="F79" s="12" t="str">
        <f t="shared" si="10"/>
        <v>0000000080</v>
      </c>
      <c r="G79" s="38">
        <v>201708</v>
      </c>
      <c r="H79" s="39" t="s">
        <v>206</v>
      </c>
      <c r="I79" s="40" t="s">
        <v>202</v>
      </c>
      <c r="J79" s="45">
        <v>1.3194444444444444E-2</v>
      </c>
      <c r="K79" s="41">
        <f t="shared" si="15"/>
        <v>0.31666666666666665</v>
      </c>
      <c r="L79" s="42">
        <f t="shared" si="11"/>
        <v>31.666666666666664</v>
      </c>
      <c r="M79" s="32" t="s">
        <v>203</v>
      </c>
      <c r="N79" s="17" t="str">
        <f t="shared" si="12"/>
        <v>000</v>
      </c>
      <c r="O79" s="43" t="str">
        <f t="shared" si="17"/>
        <v>000000031,6666666666667</v>
      </c>
      <c r="P79" s="41" t="str">
        <f t="shared" si="13"/>
        <v>000000031</v>
      </c>
      <c r="Q79" s="44" t="s">
        <v>204</v>
      </c>
    </row>
    <row r="80" spans="1:17" x14ac:dyDescent="0.25">
      <c r="A80" s="36" t="str">
        <f t="shared" si="16"/>
        <v>1000000000412017080988110000000000000000028</v>
      </c>
      <c r="B80" s="37">
        <v>10</v>
      </c>
      <c r="C80" s="32" t="s">
        <v>200</v>
      </c>
      <c r="D80" s="12">
        <v>41</v>
      </c>
      <c r="E80" s="12" t="str">
        <f t="shared" si="9"/>
        <v>0</v>
      </c>
      <c r="F80" s="12" t="str">
        <f t="shared" si="10"/>
        <v>0000000041</v>
      </c>
      <c r="G80" s="38">
        <v>201708</v>
      </c>
      <c r="H80" s="39" t="s">
        <v>206</v>
      </c>
      <c r="I80" s="40" t="s">
        <v>202</v>
      </c>
      <c r="J80" s="45">
        <v>0</v>
      </c>
      <c r="K80" s="41">
        <f t="shared" si="15"/>
        <v>0</v>
      </c>
      <c r="L80" s="42">
        <f t="shared" si="11"/>
        <v>0</v>
      </c>
      <c r="M80" s="32" t="s">
        <v>203</v>
      </c>
      <c r="N80" s="17" t="str">
        <f t="shared" si="12"/>
        <v>0000</v>
      </c>
      <c r="O80" s="43" t="str">
        <f t="shared" si="17"/>
        <v>000000000</v>
      </c>
      <c r="P80" s="41" t="str">
        <f t="shared" si="13"/>
        <v>000000000</v>
      </c>
      <c r="Q80" s="44" t="s">
        <v>204</v>
      </c>
    </row>
    <row r="81" spans="1:17" x14ac:dyDescent="0.25">
      <c r="A81" s="36" t="str">
        <f t="shared" si="16"/>
        <v>1000000000132017080988110000000000000000028</v>
      </c>
      <c r="B81" s="37">
        <v>10</v>
      </c>
      <c r="C81" s="32" t="s">
        <v>200</v>
      </c>
      <c r="D81" s="12">
        <v>13</v>
      </c>
      <c r="E81" s="12" t="str">
        <f t="shared" si="9"/>
        <v>0</v>
      </c>
      <c r="F81" s="12" t="str">
        <f t="shared" si="10"/>
        <v>0000000013</v>
      </c>
      <c r="G81" s="38">
        <v>201708</v>
      </c>
      <c r="H81" s="39" t="s">
        <v>206</v>
      </c>
      <c r="I81" s="40" t="s">
        <v>202</v>
      </c>
      <c r="J81" s="45">
        <v>0</v>
      </c>
      <c r="K81" s="41">
        <f t="shared" si="15"/>
        <v>0</v>
      </c>
      <c r="L81" s="42">
        <f t="shared" si="11"/>
        <v>0</v>
      </c>
      <c r="M81" s="32" t="s">
        <v>203</v>
      </c>
      <c r="N81" s="17" t="str">
        <f t="shared" si="12"/>
        <v>0000</v>
      </c>
      <c r="O81" s="43" t="str">
        <f t="shared" si="17"/>
        <v>000000000</v>
      </c>
      <c r="P81" s="41" t="str">
        <f t="shared" si="13"/>
        <v>000000000</v>
      </c>
      <c r="Q81" s="44" t="s">
        <v>204</v>
      </c>
    </row>
    <row r="82" spans="1:17" x14ac:dyDescent="0.25">
      <c r="A82" s="36" t="str">
        <f t="shared" si="16"/>
        <v>1000000000042017080988110000000000000000028</v>
      </c>
      <c r="B82" s="37">
        <v>10</v>
      </c>
      <c r="C82" s="32" t="s">
        <v>200</v>
      </c>
      <c r="D82" s="12">
        <v>4</v>
      </c>
      <c r="E82" s="12" t="str">
        <f t="shared" si="9"/>
        <v>00</v>
      </c>
      <c r="F82" s="12" t="str">
        <f t="shared" si="10"/>
        <v>0000000004</v>
      </c>
      <c r="G82" s="38">
        <v>201708</v>
      </c>
      <c r="H82" s="39" t="s">
        <v>206</v>
      </c>
      <c r="I82" s="40" t="s">
        <v>202</v>
      </c>
      <c r="J82" s="45">
        <v>0</v>
      </c>
      <c r="K82" s="41">
        <f t="shared" si="15"/>
        <v>0</v>
      </c>
      <c r="L82" s="42">
        <f t="shared" si="11"/>
        <v>0</v>
      </c>
      <c r="M82" s="32" t="s">
        <v>203</v>
      </c>
      <c r="N82" s="17" t="str">
        <f t="shared" si="12"/>
        <v>0000</v>
      </c>
      <c r="O82" s="43" t="str">
        <f t="shared" si="17"/>
        <v>000000000</v>
      </c>
      <c r="P82" s="41" t="str">
        <f t="shared" si="13"/>
        <v>000000000</v>
      </c>
      <c r="Q82" s="44" t="s">
        <v>204</v>
      </c>
    </row>
    <row r="83" spans="1:17" x14ac:dyDescent="0.25">
      <c r="A83" s="36" t="str">
        <f t="shared" si="16"/>
        <v>1000000000662017080988110000003560000000028</v>
      </c>
      <c r="B83" s="37">
        <v>10</v>
      </c>
      <c r="C83" s="32" t="s">
        <v>200</v>
      </c>
      <c r="D83" s="12">
        <v>66</v>
      </c>
      <c r="E83" s="12" t="str">
        <f t="shared" si="9"/>
        <v>0</v>
      </c>
      <c r="F83" s="12" t="str">
        <f t="shared" si="10"/>
        <v>0000000066</v>
      </c>
      <c r="G83" s="38">
        <v>201708</v>
      </c>
      <c r="H83" s="39" t="s">
        <v>206</v>
      </c>
      <c r="I83" s="40" t="s">
        <v>202</v>
      </c>
      <c r="J83" s="45">
        <v>0.14861111111111111</v>
      </c>
      <c r="K83" s="41">
        <f t="shared" si="15"/>
        <v>3.5666666666666664</v>
      </c>
      <c r="L83" s="42">
        <f t="shared" si="11"/>
        <v>356.66666666666663</v>
      </c>
      <c r="M83" s="32" t="s">
        <v>203</v>
      </c>
      <c r="N83" s="17" t="str">
        <f t="shared" si="12"/>
        <v>00</v>
      </c>
      <c r="O83" s="43" t="str">
        <f t="shared" si="17"/>
        <v>000000356,666666666667</v>
      </c>
      <c r="P83" s="41" t="str">
        <f t="shared" si="13"/>
        <v>000000356</v>
      </c>
      <c r="Q83" s="44" t="s">
        <v>204</v>
      </c>
    </row>
    <row r="84" spans="1:17" x14ac:dyDescent="0.25">
      <c r="A84" s="36" t="str">
        <f t="shared" si="16"/>
        <v>1000000000812017080988110000000160000000028</v>
      </c>
      <c r="B84" s="37">
        <v>10</v>
      </c>
      <c r="C84" s="32" t="s">
        <v>200</v>
      </c>
      <c r="D84" s="12">
        <v>81</v>
      </c>
      <c r="E84" s="12" t="str">
        <f t="shared" si="9"/>
        <v>0</v>
      </c>
      <c r="F84" s="12" t="str">
        <f t="shared" si="10"/>
        <v>0000000081</v>
      </c>
      <c r="G84" s="38">
        <v>201708</v>
      </c>
      <c r="H84" s="39" t="s">
        <v>206</v>
      </c>
      <c r="I84" s="40" t="s">
        <v>202</v>
      </c>
      <c r="J84" s="45">
        <v>6.9444444444444441E-3</v>
      </c>
      <c r="K84" s="41">
        <f t="shared" si="15"/>
        <v>0.16666666666666666</v>
      </c>
      <c r="L84" s="42">
        <f t="shared" si="11"/>
        <v>16.666666666666664</v>
      </c>
      <c r="M84" s="32" t="s">
        <v>203</v>
      </c>
      <c r="N84" s="17" t="str">
        <f t="shared" si="12"/>
        <v>000</v>
      </c>
      <c r="O84" s="43" t="str">
        <f t="shared" si="17"/>
        <v>000000016,6666666666667</v>
      </c>
      <c r="P84" s="41" t="str">
        <f t="shared" si="13"/>
        <v>000000016</v>
      </c>
      <c r="Q84" s="44" t="s">
        <v>204</v>
      </c>
    </row>
    <row r="85" spans="1:17" x14ac:dyDescent="0.25">
      <c r="A85" s="36" t="str">
        <f t="shared" si="16"/>
        <v>1000000000262017080988110000000000000000028</v>
      </c>
      <c r="B85" s="37">
        <v>10</v>
      </c>
      <c r="C85" s="32" t="s">
        <v>200</v>
      </c>
      <c r="D85" s="12">
        <v>26</v>
      </c>
      <c r="E85" s="12" t="str">
        <f t="shared" si="9"/>
        <v>0</v>
      </c>
      <c r="F85" s="12" t="str">
        <f t="shared" si="10"/>
        <v>0000000026</v>
      </c>
      <c r="G85" s="38">
        <v>201708</v>
      </c>
      <c r="H85" s="39" t="s">
        <v>206</v>
      </c>
      <c r="I85" s="40" t="s">
        <v>202</v>
      </c>
      <c r="J85" s="45">
        <v>0</v>
      </c>
      <c r="K85" s="41">
        <f t="shared" si="15"/>
        <v>0</v>
      </c>
      <c r="L85" s="42">
        <f t="shared" si="11"/>
        <v>0</v>
      </c>
      <c r="M85" s="32" t="s">
        <v>203</v>
      </c>
      <c r="N85" s="17" t="str">
        <f t="shared" si="12"/>
        <v>0000</v>
      </c>
      <c r="O85" s="43" t="str">
        <f t="shared" si="17"/>
        <v>000000000</v>
      </c>
      <c r="P85" s="41" t="str">
        <f t="shared" si="13"/>
        <v>000000000</v>
      </c>
      <c r="Q85" s="44" t="s">
        <v>204</v>
      </c>
    </row>
    <row r="86" spans="1:17" x14ac:dyDescent="0.25">
      <c r="A86" s="36" t="str">
        <f t="shared" si="16"/>
        <v>1000000000832017080988110000000000000000028</v>
      </c>
      <c r="B86" s="37">
        <v>10</v>
      </c>
      <c r="C86" s="32" t="s">
        <v>200</v>
      </c>
      <c r="D86" s="12">
        <v>83</v>
      </c>
      <c r="E86" s="12" t="str">
        <f t="shared" si="9"/>
        <v>0</v>
      </c>
      <c r="F86" s="12" t="str">
        <f t="shared" si="10"/>
        <v>0000000083</v>
      </c>
      <c r="G86" s="38">
        <v>201708</v>
      </c>
      <c r="H86" s="39" t="s">
        <v>206</v>
      </c>
      <c r="I86" s="40" t="s">
        <v>202</v>
      </c>
      <c r="J86" s="45">
        <v>0</v>
      </c>
      <c r="K86" s="41">
        <f t="shared" si="15"/>
        <v>0</v>
      </c>
      <c r="L86" s="42">
        <f t="shared" si="11"/>
        <v>0</v>
      </c>
      <c r="M86" s="32" t="s">
        <v>203</v>
      </c>
      <c r="N86" s="17" t="str">
        <f t="shared" si="12"/>
        <v>0000</v>
      </c>
      <c r="O86" s="43" t="str">
        <f t="shared" si="17"/>
        <v>000000000</v>
      </c>
      <c r="P86" s="41" t="str">
        <f t="shared" si="13"/>
        <v>000000000</v>
      </c>
      <c r="Q86" s="44" t="s">
        <v>204</v>
      </c>
    </row>
    <row r="87" spans="1:17" x14ac:dyDescent="0.25">
      <c r="A87" s="36" t="str">
        <f t="shared" si="16"/>
        <v>1000000000382017080988110000003900000000028</v>
      </c>
      <c r="B87" s="37">
        <v>10</v>
      </c>
      <c r="C87" s="32" t="s">
        <v>200</v>
      </c>
      <c r="D87" s="12">
        <v>38</v>
      </c>
      <c r="E87" s="12" t="str">
        <f t="shared" si="9"/>
        <v>0</v>
      </c>
      <c r="F87" s="12" t="str">
        <f t="shared" si="10"/>
        <v>0000000038</v>
      </c>
      <c r="G87" s="38">
        <v>201708</v>
      </c>
      <c r="H87" s="39" t="s">
        <v>206</v>
      </c>
      <c r="I87" s="40" t="s">
        <v>202</v>
      </c>
      <c r="J87" s="45">
        <v>0.16250000000000001</v>
      </c>
      <c r="K87" s="41">
        <f t="shared" si="15"/>
        <v>3.9000000000000004</v>
      </c>
      <c r="L87" s="42">
        <f t="shared" si="11"/>
        <v>390.00000000000006</v>
      </c>
      <c r="M87" s="32" t="s">
        <v>203</v>
      </c>
      <c r="N87" s="17" t="str">
        <f t="shared" si="12"/>
        <v>00</v>
      </c>
      <c r="O87" s="43" t="str">
        <f t="shared" si="17"/>
        <v>000000390</v>
      </c>
      <c r="P87" s="41" t="str">
        <f t="shared" si="13"/>
        <v>000000390</v>
      </c>
      <c r="Q87" s="44" t="s">
        <v>204</v>
      </c>
    </row>
    <row r="88" spans="1:17" x14ac:dyDescent="0.25">
      <c r="A88" s="36" t="str">
        <f t="shared" si="16"/>
        <v>1000000000642017080988110000003380000000028</v>
      </c>
      <c r="B88" s="37">
        <v>10</v>
      </c>
      <c r="C88" s="32" t="s">
        <v>200</v>
      </c>
      <c r="D88" s="12">
        <v>64</v>
      </c>
      <c r="E88" s="12" t="str">
        <f t="shared" si="9"/>
        <v>0</v>
      </c>
      <c r="F88" s="12" t="str">
        <f t="shared" si="10"/>
        <v>0000000064</v>
      </c>
      <c r="G88" s="38">
        <v>201708</v>
      </c>
      <c r="H88" s="39" t="s">
        <v>206</v>
      </c>
      <c r="I88" s="40" t="s">
        <v>202</v>
      </c>
      <c r="J88" s="45">
        <v>0.14097222222222222</v>
      </c>
      <c r="K88" s="41">
        <f t="shared" si="15"/>
        <v>3.3833333333333333</v>
      </c>
      <c r="L88" s="42">
        <f t="shared" si="11"/>
        <v>338.33333333333331</v>
      </c>
      <c r="M88" s="32" t="s">
        <v>203</v>
      </c>
      <c r="N88" s="17" t="str">
        <f t="shared" si="12"/>
        <v>00</v>
      </c>
      <c r="O88" s="43" t="str">
        <f t="shared" si="17"/>
        <v>000000338,333333333333</v>
      </c>
      <c r="P88" s="41" t="str">
        <f t="shared" si="13"/>
        <v>000000338</v>
      </c>
      <c r="Q88" s="44" t="s">
        <v>204</v>
      </c>
    </row>
    <row r="89" spans="1:17" x14ac:dyDescent="0.25">
      <c r="A89" s="36" t="str">
        <f t="shared" si="16"/>
        <v>1000000000492017080988110000001530000000028</v>
      </c>
      <c r="B89" s="37">
        <v>10</v>
      </c>
      <c r="C89" s="32" t="s">
        <v>200</v>
      </c>
      <c r="D89" s="12">
        <v>49</v>
      </c>
      <c r="E89" s="12" t="str">
        <f t="shared" si="9"/>
        <v>0</v>
      </c>
      <c r="F89" s="12" t="str">
        <f t="shared" si="10"/>
        <v>0000000049</v>
      </c>
      <c r="G89" s="38">
        <v>201708</v>
      </c>
      <c r="H89" s="39" t="s">
        <v>206</v>
      </c>
      <c r="I89" s="40" t="s">
        <v>202</v>
      </c>
      <c r="J89" s="45">
        <v>6.3888888888888884E-2</v>
      </c>
      <c r="K89" s="41">
        <f t="shared" si="15"/>
        <v>1.5333333333333332</v>
      </c>
      <c r="L89" s="42">
        <f t="shared" si="11"/>
        <v>153.33333333333331</v>
      </c>
      <c r="M89" s="32" t="s">
        <v>203</v>
      </c>
      <c r="N89" s="17" t="str">
        <f t="shared" si="12"/>
        <v>00</v>
      </c>
      <c r="O89" s="43" t="str">
        <f t="shared" si="17"/>
        <v>000000153,333333333333</v>
      </c>
      <c r="P89" s="41" t="str">
        <f t="shared" si="13"/>
        <v>000000153</v>
      </c>
      <c r="Q89" s="44" t="s">
        <v>204</v>
      </c>
    </row>
    <row r="90" spans="1:17" x14ac:dyDescent="0.25">
      <c r="A90" s="36" t="str">
        <f t="shared" si="16"/>
        <v>1000000000162017080988110000000000000000028</v>
      </c>
      <c r="B90" s="37">
        <v>10</v>
      </c>
      <c r="C90" s="32" t="s">
        <v>200</v>
      </c>
      <c r="D90" s="12">
        <v>16</v>
      </c>
      <c r="E90" s="12" t="str">
        <f t="shared" si="9"/>
        <v>0</v>
      </c>
      <c r="F90" s="12" t="str">
        <f t="shared" si="10"/>
        <v>0000000016</v>
      </c>
      <c r="G90" s="38">
        <v>201708</v>
      </c>
      <c r="H90" s="39" t="s">
        <v>206</v>
      </c>
      <c r="I90" s="40" t="s">
        <v>202</v>
      </c>
      <c r="J90" s="45">
        <v>0</v>
      </c>
      <c r="K90" s="41">
        <f t="shared" si="15"/>
        <v>0</v>
      </c>
      <c r="L90" s="42">
        <f t="shared" si="11"/>
        <v>0</v>
      </c>
      <c r="M90" s="32" t="s">
        <v>203</v>
      </c>
      <c r="N90" s="17" t="str">
        <f t="shared" si="12"/>
        <v>0000</v>
      </c>
      <c r="O90" s="43" t="str">
        <f t="shared" si="17"/>
        <v>000000000</v>
      </c>
      <c r="P90" s="41" t="str">
        <f t="shared" si="13"/>
        <v>000000000</v>
      </c>
      <c r="Q90" s="44" t="s">
        <v>204</v>
      </c>
    </row>
    <row r="91" spans="1:17" x14ac:dyDescent="0.25">
      <c r="A91" s="36" t="str">
        <f t="shared" si="16"/>
        <v>1000000000052017080203110000030300000000028</v>
      </c>
      <c r="B91" s="37">
        <v>10</v>
      </c>
      <c r="C91" s="32" t="s">
        <v>200</v>
      </c>
      <c r="D91" s="12">
        <v>5</v>
      </c>
      <c r="E91" s="12" t="str">
        <f t="shared" si="9"/>
        <v>00</v>
      </c>
      <c r="F91" s="12" t="str">
        <f t="shared" si="10"/>
        <v>0000000005</v>
      </c>
      <c r="G91" s="38">
        <v>201708</v>
      </c>
      <c r="H91" s="39" t="s">
        <v>201</v>
      </c>
      <c r="I91" s="40" t="s">
        <v>202</v>
      </c>
      <c r="J91" s="48">
        <v>1.2625</v>
      </c>
      <c r="K91" s="41">
        <f t="shared" si="15"/>
        <v>30.299999999999997</v>
      </c>
      <c r="L91" s="42">
        <f t="shared" si="11"/>
        <v>3029.9999999999995</v>
      </c>
      <c r="M91" s="32" t="s">
        <v>203</v>
      </c>
      <c r="N91" s="17" t="str">
        <f t="shared" si="12"/>
        <v>0</v>
      </c>
      <c r="O91" s="43" t="str">
        <f t="shared" si="17"/>
        <v>000003030</v>
      </c>
      <c r="P91" s="41" t="str">
        <f t="shared" si="13"/>
        <v>000003030</v>
      </c>
      <c r="Q91" s="44" t="s">
        <v>204</v>
      </c>
    </row>
    <row r="92" spans="1:17" x14ac:dyDescent="0.25">
      <c r="A92" s="36" t="str">
        <f t="shared" si="16"/>
        <v>1000000000512017080203110000002400000000028</v>
      </c>
      <c r="B92" s="37">
        <v>10</v>
      </c>
      <c r="C92" s="32" t="s">
        <v>200</v>
      </c>
      <c r="D92" s="12">
        <v>51</v>
      </c>
      <c r="E92" s="12" t="str">
        <f t="shared" si="9"/>
        <v>0</v>
      </c>
      <c r="F92" s="12" t="str">
        <f t="shared" si="10"/>
        <v>0000000051</v>
      </c>
      <c r="G92" s="38">
        <v>201708</v>
      </c>
      <c r="H92" s="39" t="s">
        <v>201</v>
      </c>
      <c r="I92" s="40" t="s">
        <v>202</v>
      </c>
      <c r="J92" s="45">
        <v>9.9999999999999992E-2</v>
      </c>
      <c r="K92" s="41">
        <f t="shared" si="15"/>
        <v>2.4</v>
      </c>
      <c r="L92" s="42">
        <f t="shared" si="11"/>
        <v>240</v>
      </c>
      <c r="M92" s="32" t="s">
        <v>203</v>
      </c>
      <c r="N92" s="17" t="str">
        <f t="shared" si="12"/>
        <v>00</v>
      </c>
      <c r="O92" s="43" t="str">
        <f t="shared" si="17"/>
        <v>000000240</v>
      </c>
      <c r="P92" s="41" t="str">
        <f t="shared" si="13"/>
        <v>000000240</v>
      </c>
      <c r="Q92" s="44" t="s">
        <v>204</v>
      </c>
    </row>
    <row r="93" spans="1:17" x14ac:dyDescent="0.25">
      <c r="A93" s="36" t="str">
        <f t="shared" si="16"/>
        <v>1000000000502017080203110000003880000000028</v>
      </c>
      <c r="B93" s="37">
        <v>10</v>
      </c>
      <c r="C93" s="32" t="s">
        <v>200</v>
      </c>
      <c r="D93" s="12">
        <v>50</v>
      </c>
      <c r="E93" s="12" t="str">
        <f t="shared" si="9"/>
        <v>0</v>
      </c>
      <c r="F93" s="12" t="str">
        <f t="shared" si="10"/>
        <v>0000000050</v>
      </c>
      <c r="G93" s="38">
        <v>201708</v>
      </c>
      <c r="H93" s="39" t="s">
        <v>201</v>
      </c>
      <c r="I93" s="40" t="s">
        <v>202</v>
      </c>
      <c r="J93" s="45">
        <v>0.16180555555555556</v>
      </c>
      <c r="K93" s="41">
        <f t="shared" si="15"/>
        <v>3.8833333333333337</v>
      </c>
      <c r="L93" s="42">
        <f t="shared" si="11"/>
        <v>388.33333333333337</v>
      </c>
      <c r="M93" s="32" t="s">
        <v>203</v>
      </c>
      <c r="N93" s="17" t="str">
        <f t="shared" si="12"/>
        <v>00</v>
      </c>
      <c r="O93" s="43" t="str">
        <f t="shared" si="17"/>
        <v>000000388,333333333333</v>
      </c>
      <c r="P93" s="41" t="str">
        <f t="shared" si="13"/>
        <v>000000388</v>
      </c>
      <c r="Q93" s="44" t="s">
        <v>204</v>
      </c>
    </row>
    <row r="94" spans="1:17" x14ac:dyDescent="0.25">
      <c r="A94" s="36" t="str">
        <f t="shared" si="16"/>
        <v>1000000000732017080203110000003030000000028</v>
      </c>
      <c r="B94" s="37">
        <v>10</v>
      </c>
      <c r="C94" s="32" t="s">
        <v>200</v>
      </c>
      <c r="D94" s="12">
        <v>73</v>
      </c>
      <c r="E94" s="12" t="str">
        <f t="shared" si="9"/>
        <v>0</v>
      </c>
      <c r="F94" s="12" t="str">
        <f t="shared" si="10"/>
        <v>0000000073</v>
      </c>
      <c r="G94" s="38">
        <v>201708</v>
      </c>
      <c r="H94" s="39" t="s">
        <v>201</v>
      </c>
      <c r="I94" s="40" t="s">
        <v>202</v>
      </c>
      <c r="J94" s="45">
        <v>0.12638888888888888</v>
      </c>
      <c r="K94" s="41">
        <f t="shared" si="15"/>
        <v>3.0333333333333332</v>
      </c>
      <c r="L94" s="42">
        <f t="shared" si="11"/>
        <v>303.33333333333331</v>
      </c>
      <c r="M94" s="32" t="s">
        <v>203</v>
      </c>
      <c r="N94" s="17" t="str">
        <f t="shared" si="12"/>
        <v>00</v>
      </c>
      <c r="O94" s="43" t="str">
        <f t="shared" si="17"/>
        <v>000000303,333333333333</v>
      </c>
      <c r="P94" s="41" t="str">
        <f t="shared" si="13"/>
        <v>000000303</v>
      </c>
      <c r="Q94" s="44" t="s">
        <v>204</v>
      </c>
    </row>
    <row r="95" spans="1:17" x14ac:dyDescent="0.25">
      <c r="A95" s="36" t="str">
        <f t="shared" si="16"/>
        <v>1000000000332017080203110000001450000000028</v>
      </c>
      <c r="B95" s="37">
        <v>10</v>
      </c>
      <c r="C95" s="32" t="s">
        <v>200</v>
      </c>
      <c r="D95" s="12">
        <v>33</v>
      </c>
      <c r="E95" s="12" t="str">
        <f t="shared" si="9"/>
        <v>0</v>
      </c>
      <c r="F95" s="12" t="str">
        <f t="shared" si="10"/>
        <v>0000000033</v>
      </c>
      <c r="G95" s="38">
        <v>201708</v>
      </c>
      <c r="H95" s="39" t="s">
        <v>201</v>
      </c>
      <c r="I95" s="40" t="s">
        <v>202</v>
      </c>
      <c r="J95" s="45">
        <v>6.0416666666666667E-2</v>
      </c>
      <c r="K95" s="41">
        <f t="shared" si="15"/>
        <v>1.45</v>
      </c>
      <c r="L95" s="42">
        <f t="shared" si="11"/>
        <v>145</v>
      </c>
      <c r="M95" s="32" t="s">
        <v>203</v>
      </c>
      <c r="N95" s="17" t="str">
        <f t="shared" si="12"/>
        <v>00</v>
      </c>
      <c r="O95" s="43" t="str">
        <f t="shared" si="17"/>
        <v>000000145</v>
      </c>
      <c r="P95" s="41" t="str">
        <f t="shared" si="13"/>
        <v>000000145</v>
      </c>
      <c r="Q95" s="44" t="s">
        <v>204</v>
      </c>
    </row>
    <row r="96" spans="1:17" x14ac:dyDescent="0.25">
      <c r="A96" s="36" t="str">
        <f t="shared" si="16"/>
        <v>1000000000722017080203110000001460000000028</v>
      </c>
      <c r="B96" s="37">
        <v>10</v>
      </c>
      <c r="C96" s="32" t="s">
        <v>200</v>
      </c>
      <c r="D96" s="12">
        <v>72</v>
      </c>
      <c r="E96" s="12" t="str">
        <f t="shared" si="9"/>
        <v>0</v>
      </c>
      <c r="F96" s="12" t="str">
        <f t="shared" si="10"/>
        <v>0000000072</v>
      </c>
      <c r="G96" s="38">
        <v>201708</v>
      </c>
      <c r="H96" s="39" t="s">
        <v>201</v>
      </c>
      <c r="I96" s="40" t="s">
        <v>202</v>
      </c>
      <c r="J96" s="45">
        <v>6.1111111111111116E-2</v>
      </c>
      <c r="K96" s="41">
        <f t="shared" si="15"/>
        <v>1.4666666666666668</v>
      </c>
      <c r="L96" s="42">
        <f t="shared" si="11"/>
        <v>146.66666666666669</v>
      </c>
      <c r="M96" s="32" t="s">
        <v>203</v>
      </c>
      <c r="N96" s="17" t="str">
        <f t="shared" si="12"/>
        <v>00</v>
      </c>
      <c r="O96" s="43" t="str">
        <f t="shared" si="17"/>
        <v>000000146,666666666667</v>
      </c>
      <c r="P96" s="41" t="str">
        <f t="shared" si="13"/>
        <v>000000146</v>
      </c>
      <c r="Q96" s="44" t="s">
        <v>204</v>
      </c>
    </row>
    <row r="97" spans="1:17" x14ac:dyDescent="0.25">
      <c r="A97" s="36" t="str">
        <f t="shared" si="16"/>
        <v>1000000000072017080203110000002100000000028</v>
      </c>
      <c r="B97" s="37">
        <v>10</v>
      </c>
      <c r="C97" s="32" t="s">
        <v>200</v>
      </c>
      <c r="D97" s="12">
        <v>7</v>
      </c>
      <c r="E97" s="12" t="str">
        <f t="shared" si="9"/>
        <v>00</v>
      </c>
      <c r="F97" s="12" t="str">
        <f t="shared" si="10"/>
        <v>0000000007</v>
      </c>
      <c r="G97" s="38">
        <v>201708</v>
      </c>
      <c r="H97" s="39" t="s">
        <v>201</v>
      </c>
      <c r="I97" s="40" t="s">
        <v>202</v>
      </c>
      <c r="J97" s="45">
        <v>8.7500000000000008E-2</v>
      </c>
      <c r="K97" s="41">
        <f t="shared" si="15"/>
        <v>2.1</v>
      </c>
      <c r="L97" s="42">
        <f t="shared" si="11"/>
        <v>210</v>
      </c>
      <c r="M97" s="32" t="s">
        <v>203</v>
      </c>
      <c r="N97" s="17" t="str">
        <f t="shared" si="12"/>
        <v>00</v>
      </c>
      <c r="O97" s="43" t="str">
        <f t="shared" si="17"/>
        <v>000000210</v>
      </c>
      <c r="P97" s="41" t="str">
        <f t="shared" si="13"/>
        <v>000000210</v>
      </c>
      <c r="Q97" s="44" t="s">
        <v>204</v>
      </c>
    </row>
    <row r="98" spans="1:17" x14ac:dyDescent="0.25">
      <c r="A98" s="36" t="str">
        <f t="shared" si="16"/>
        <v>1000000000192017080203110000000960000000028</v>
      </c>
      <c r="B98" s="37">
        <v>10</v>
      </c>
      <c r="C98" s="32" t="s">
        <v>200</v>
      </c>
      <c r="D98" s="12">
        <v>19</v>
      </c>
      <c r="E98" s="12" t="str">
        <f t="shared" si="9"/>
        <v>0</v>
      </c>
      <c r="F98" s="12" t="str">
        <f t="shared" si="10"/>
        <v>0000000019</v>
      </c>
      <c r="G98" s="38">
        <v>201708</v>
      </c>
      <c r="H98" s="39" t="s">
        <v>201</v>
      </c>
      <c r="I98" s="40" t="s">
        <v>202</v>
      </c>
      <c r="J98" s="45">
        <v>4.027777777777778E-2</v>
      </c>
      <c r="K98" s="41">
        <f t="shared" si="15"/>
        <v>0.96666666666666679</v>
      </c>
      <c r="L98" s="42">
        <f t="shared" si="11"/>
        <v>96.666666666666686</v>
      </c>
      <c r="M98" s="32" t="s">
        <v>203</v>
      </c>
      <c r="N98" s="17" t="str">
        <f t="shared" si="12"/>
        <v>000</v>
      </c>
      <c r="O98" s="43" t="str">
        <f t="shared" si="17"/>
        <v>000000096,6666666666667</v>
      </c>
      <c r="P98" s="41" t="str">
        <f t="shared" si="13"/>
        <v>000000096</v>
      </c>
      <c r="Q98" s="44" t="s">
        <v>204</v>
      </c>
    </row>
    <row r="99" spans="1:17" x14ac:dyDescent="0.25">
      <c r="A99" s="36" t="str">
        <f t="shared" si="16"/>
        <v>1000000000152017080203110000000610000000028</v>
      </c>
      <c r="B99" s="37">
        <v>10</v>
      </c>
      <c r="C99" s="32" t="s">
        <v>200</v>
      </c>
      <c r="D99" s="12">
        <v>15</v>
      </c>
      <c r="E99" s="12" t="str">
        <f t="shared" si="9"/>
        <v>0</v>
      </c>
      <c r="F99" s="12" t="str">
        <f t="shared" si="10"/>
        <v>0000000015</v>
      </c>
      <c r="G99" s="38">
        <v>201708</v>
      </c>
      <c r="H99" s="39" t="s">
        <v>201</v>
      </c>
      <c r="I99" s="40" t="s">
        <v>202</v>
      </c>
      <c r="J99" s="45">
        <v>2.5694444444444447E-2</v>
      </c>
      <c r="K99" s="41">
        <f t="shared" si="15"/>
        <v>0.6166666666666667</v>
      </c>
      <c r="L99" s="42">
        <f t="shared" si="11"/>
        <v>61.666666666666671</v>
      </c>
      <c r="M99" s="32" t="s">
        <v>203</v>
      </c>
      <c r="N99" s="17" t="str">
        <f t="shared" si="12"/>
        <v>000</v>
      </c>
      <c r="O99" s="43" t="str">
        <f t="shared" si="17"/>
        <v>000000061,6666666666667</v>
      </c>
      <c r="P99" s="41" t="str">
        <f t="shared" si="13"/>
        <v>000000061</v>
      </c>
      <c r="Q99" s="44" t="s">
        <v>204</v>
      </c>
    </row>
    <row r="100" spans="1:17" x14ac:dyDescent="0.25">
      <c r="A100" s="36" t="str">
        <f t="shared" si="16"/>
        <v>1000000000702017080203110000001560000000028</v>
      </c>
      <c r="B100" s="37">
        <v>10</v>
      </c>
      <c r="C100" s="32" t="s">
        <v>200</v>
      </c>
      <c r="D100" s="12">
        <v>70</v>
      </c>
      <c r="E100" s="12" t="str">
        <f t="shared" si="9"/>
        <v>0</v>
      </c>
      <c r="F100" s="12" t="str">
        <f t="shared" si="10"/>
        <v>0000000070</v>
      </c>
      <c r="G100" s="38">
        <v>201708</v>
      </c>
      <c r="H100" s="39" t="s">
        <v>201</v>
      </c>
      <c r="I100" s="40" t="s">
        <v>202</v>
      </c>
      <c r="J100" s="45">
        <v>6.5277777777777782E-2</v>
      </c>
      <c r="K100" s="41">
        <f t="shared" si="15"/>
        <v>1.5666666666666669</v>
      </c>
      <c r="L100" s="42">
        <f t="shared" si="11"/>
        <v>156.66666666666669</v>
      </c>
      <c r="M100" s="32" t="s">
        <v>203</v>
      </c>
      <c r="N100" s="17" t="str">
        <f t="shared" si="12"/>
        <v>00</v>
      </c>
      <c r="O100" s="43" t="str">
        <f t="shared" si="17"/>
        <v>000000156,666666666667</v>
      </c>
      <c r="P100" s="41" t="str">
        <f t="shared" si="13"/>
        <v>000000156</v>
      </c>
      <c r="Q100" s="44" t="s">
        <v>204</v>
      </c>
    </row>
    <row r="101" spans="1:17" x14ac:dyDescent="0.25">
      <c r="A101" s="36" t="str">
        <f t="shared" si="16"/>
        <v>1000000000242017080203110000001110000000028</v>
      </c>
      <c r="B101" s="37">
        <v>10</v>
      </c>
      <c r="C101" s="32" t="s">
        <v>200</v>
      </c>
      <c r="D101" s="12">
        <v>24</v>
      </c>
      <c r="E101" s="12" t="str">
        <f t="shared" si="9"/>
        <v>0</v>
      </c>
      <c r="F101" s="12" t="str">
        <f t="shared" si="10"/>
        <v>0000000024</v>
      </c>
      <c r="G101" s="38">
        <v>201708</v>
      </c>
      <c r="H101" s="39" t="s">
        <v>201</v>
      </c>
      <c r="I101" s="40" t="s">
        <v>202</v>
      </c>
      <c r="J101" s="45">
        <v>4.6527777777777779E-2</v>
      </c>
      <c r="K101" s="41">
        <f t="shared" si="15"/>
        <v>1.1166666666666667</v>
      </c>
      <c r="L101" s="42">
        <f t="shared" si="11"/>
        <v>111.66666666666667</v>
      </c>
      <c r="M101" s="32" t="s">
        <v>203</v>
      </c>
      <c r="N101" s="17" t="str">
        <f t="shared" si="12"/>
        <v>00</v>
      </c>
      <c r="O101" s="43" t="str">
        <f t="shared" si="17"/>
        <v>000000111,666666666667</v>
      </c>
      <c r="P101" s="41" t="str">
        <f t="shared" si="13"/>
        <v>000000111</v>
      </c>
      <c r="Q101" s="44" t="s">
        <v>204</v>
      </c>
    </row>
    <row r="102" spans="1:17" x14ac:dyDescent="0.25">
      <c r="A102" s="36" t="str">
        <f t="shared" si="16"/>
        <v>1000000000712017080203110000001360000000028</v>
      </c>
      <c r="B102" s="37">
        <v>10</v>
      </c>
      <c r="C102" s="32" t="s">
        <v>200</v>
      </c>
      <c r="D102" s="12">
        <v>71</v>
      </c>
      <c r="E102" s="12" t="str">
        <f t="shared" si="9"/>
        <v>0</v>
      </c>
      <c r="F102" s="12" t="str">
        <f t="shared" si="10"/>
        <v>0000000071</v>
      </c>
      <c r="G102" s="38">
        <v>201708</v>
      </c>
      <c r="H102" s="39" t="s">
        <v>201</v>
      </c>
      <c r="I102" s="40" t="s">
        <v>202</v>
      </c>
      <c r="J102" s="45">
        <v>5.6944444444444443E-2</v>
      </c>
      <c r="K102" s="41">
        <f t="shared" si="15"/>
        <v>1.3666666666666667</v>
      </c>
      <c r="L102" s="42">
        <f t="shared" si="11"/>
        <v>136.66666666666666</v>
      </c>
      <c r="M102" s="32" t="s">
        <v>203</v>
      </c>
      <c r="N102" s="17" t="str">
        <f t="shared" si="12"/>
        <v>00</v>
      </c>
      <c r="O102" s="43" t="str">
        <f t="shared" si="17"/>
        <v>000000136,666666666667</v>
      </c>
      <c r="P102" s="41" t="str">
        <f t="shared" si="13"/>
        <v>000000136</v>
      </c>
      <c r="Q102" s="44" t="s">
        <v>204</v>
      </c>
    </row>
    <row r="103" spans="1:17" x14ac:dyDescent="0.25">
      <c r="A103" s="36" t="str">
        <f t="shared" si="16"/>
        <v>1000000000342017080203110000000360000000028</v>
      </c>
      <c r="B103" s="37">
        <v>10</v>
      </c>
      <c r="C103" s="32" t="s">
        <v>200</v>
      </c>
      <c r="D103" s="12">
        <v>34</v>
      </c>
      <c r="E103" s="12" t="str">
        <f t="shared" si="9"/>
        <v>0</v>
      </c>
      <c r="F103" s="12" t="str">
        <f t="shared" si="10"/>
        <v>0000000034</v>
      </c>
      <c r="G103" s="38">
        <v>201708</v>
      </c>
      <c r="H103" s="39" t="s">
        <v>201</v>
      </c>
      <c r="I103" s="40" t="s">
        <v>202</v>
      </c>
      <c r="J103" s="45">
        <v>1.5277777777777777E-2</v>
      </c>
      <c r="K103" s="41">
        <f t="shared" si="15"/>
        <v>0.36666666666666664</v>
      </c>
      <c r="L103" s="42">
        <f t="shared" si="11"/>
        <v>36.666666666666664</v>
      </c>
      <c r="M103" s="32" t="s">
        <v>203</v>
      </c>
      <c r="N103" s="17" t="str">
        <f t="shared" si="12"/>
        <v>000</v>
      </c>
      <c r="O103" s="43" t="str">
        <f t="shared" si="17"/>
        <v>000000036,6666666666667</v>
      </c>
      <c r="P103" s="41" t="str">
        <f t="shared" si="13"/>
        <v>000000036</v>
      </c>
      <c r="Q103" s="44" t="s">
        <v>204</v>
      </c>
    </row>
    <row r="104" spans="1:17" x14ac:dyDescent="0.25">
      <c r="A104" s="36" t="str">
        <f t="shared" si="16"/>
        <v>1000000000092017080203110000000000000000028</v>
      </c>
      <c r="B104" s="37">
        <v>10</v>
      </c>
      <c r="C104" s="32" t="s">
        <v>200</v>
      </c>
      <c r="D104" s="12">
        <v>9</v>
      </c>
      <c r="E104" s="12" t="str">
        <f t="shared" si="9"/>
        <v>00</v>
      </c>
      <c r="F104" s="12" t="str">
        <f t="shared" si="10"/>
        <v>0000000009</v>
      </c>
      <c r="G104" s="38">
        <v>201708</v>
      </c>
      <c r="H104" s="39" t="s">
        <v>201</v>
      </c>
      <c r="I104" s="40" t="s">
        <v>202</v>
      </c>
      <c r="J104" s="45">
        <v>0</v>
      </c>
      <c r="K104" s="41">
        <f t="shared" si="15"/>
        <v>0</v>
      </c>
      <c r="L104" s="42">
        <f t="shared" si="11"/>
        <v>0</v>
      </c>
      <c r="M104" s="32" t="s">
        <v>203</v>
      </c>
      <c r="N104" s="17" t="str">
        <f t="shared" si="12"/>
        <v>0000</v>
      </c>
      <c r="O104" s="43" t="str">
        <f t="shared" si="17"/>
        <v>000000000</v>
      </c>
      <c r="P104" s="41" t="str">
        <f t="shared" si="13"/>
        <v>000000000</v>
      </c>
      <c r="Q104" s="44" t="s">
        <v>204</v>
      </c>
    </row>
    <row r="105" spans="1:17" x14ac:dyDescent="0.25">
      <c r="A105" s="36" t="str">
        <f t="shared" si="16"/>
        <v>1000000000352017080203110000000750000000028</v>
      </c>
      <c r="B105" s="37">
        <v>10</v>
      </c>
      <c r="C105" s="32" t="s">
        <v>200</v>
      </c>
      <c r="D105" s="12">
        <v>35</v>
      </c>
      <c r="E105" s="12" t="str">
        <f t="shared" si="9"/>
        <v>0</v>
      </c>
      <c r="F105" s="12" t="str">
        <f t="shared" si="10"/>
        <v>0000000035</v>
      </c>
      <c r="G105" s="38">
        <v>201708</v>
      </c>
      <c r="H105" s="39" t="s">
        <v>201</v>
      </c>
      <c r="I105" s="40" t="s">
        <v>202</v>
      </c>
      <c r="J105" s="45">
        <v>3.125E-2</v>
      </c>
      <c r="K105" s="41">
        <f t="shared" si="15"/>
        <v>0.75</v>
      </c>
      <c r="L105" s="42">
        <f t="shared" si="11"/>
        <v>75</v>
      </c>
      <c r="M105" s="32" t="s">
        <v>203</v>
      </c>
      <c r="N105" s="17" t="str">
        <f t="shared" si="12"/>
        <v>000</v>
      </c>
      <c r="O105" s="43" t="str">
        <f t="shared" si="17"/>
        <v>000000075</v>
      </c>
      <c r="P105" s="41" t="str">
        <f t="shared" si="13"/>
        <v>000000075</v>
      </c>
      <c r="Q105" s="44" t="s">
        <v>204</v>
      </c>
    </row>
    <row r="106" spans="1:17" x14ac:dyDescent="0.25">
      <c r="A106" s="36" t="str">
        <f t="shared" si="16"/>
        <v>1000000000432017080203110000004260000000028</v>
      </c>
      <c r="B106" s="37">
        <v>10</v>
      </c>
      <c r="C106" s="32" t="s">
        <v>200</v>
      </c>
      <c r="D106" s="12">
        <v>43</v>
      </c>
      <c r="E106" s="12" t="str">
        <f t="shared" si="9"/>
        <v>0</v>
      </c>
      <c r="F106" s="12" t="str">
        <f t="shared" si="10"/>
        <v>0000000043</v>
      </c>
      <c r="G106" s="38">
        <v>201708</v>
      </c>
      <c r="H106" s="39" t="s">
        <v>201</v>
      </c>
      <c r="I106" s="40" t="s">
        <v>202</v>
      </c>
      <c r="J106" s="45">
        <v>0.17777777777777778</v>
      </c>
      <c r="K106" s="41">
        <f t="shared" si="15"/>
        <v>4.2666666666666666</v>
      </c>
      <c r="L106" s="42">
        <f t="shared" si="11"/>
        <v>426.66666666666669</v>
      </c>
      <c r="M106" s="32" t="s">
        <v>203</v>
      </c>
      <c r="N106" s="17" t="str">
        <f t="shared" si="12"/>
        <v>00</v>
      </c>
      <c r="O106" s="43" t="str">
        <f t="shared" si="17"/>
        <v>000000426,666666666667</v>
      </c>
      <c r="P106" s="41" t="str">
        <f t="shared" si="13"/>
        <v>000000426</v>
      </c>
      <c r="Q106" s="44" t="s">
        <v>204</v>
      </c>
    </row>
    <row r="107" spans="1:17" x14ac:dyDescent="0.25">
      <c r="A107" s="36" t="str">
        <f t="shared" si="16"/>
        <v>1000000000772017080203110000000850000000028</v>
      </c>
      <c r="B107" s="37">
        <v>10</v>
      </c>
      <c r="C107" s="32" t="s">
        <v>200</v>
      </c>
      <c r="D107" s="12">
        <v>77</v>
      </c>
      <c r="E107" s="12" t="str">
        <f t="shared" si="9"/>
        <v>0</v>
      </c>
      <c r="F107" s="12" t="str">
        <f t="shared" si="10"/>
        <v>0000000077</v>
      </c>
      <c r="G107" s="38">
        <v>201708</v>
      </c>
      <c r="H107" s="39" t="s">
        <v>201</v>
      </c>
      <c r="I107" s="40" t="s">
        <v>202</v>
      </c>
      <c r="J107" s="45">
        <v>3.5416666666666666E-2</v>
      </c>
      <c r="K107" s="41">
        <f t="shared" si="15"/>
        <v>0.85</v>
      </c>
      <c r="L107" s="42">
        <f t="shared" si="11"/>
        <v>85</v>
      </c>
      <c r="M107" s="32" t="s">
        <v>203</v>
      </c>
      <c r="N107" s="17" t="str">
        <f t="shared" si="12"/>
        <v>000</v>
      </c>
      <c r="O107" s="43" t="str">
        <f t="shared" si="17"/>
        <v>000000085</v>
      </c>
      <c r="P107" s="41" t="str">
        <f t="shared" si="13"/>
        <v>000000085</v>
      </c>
      <c r="Q107" s="44" t="s">
        <v>204</v>
      </c>
    </row>
    <row r="108" spans="1:17" x14ac:dyDescent="0.25">
      <c r="A108" s="36" t="str">
        <f t="shared" si="16"/>
        <v>1000000000422017080203110000004400000000028</v>
      </c>
      <c r="B108" s="37">
        <v>10</v>
      </c>
      <c r="C108" s="32" t="s">
        <v>200</v>
      </c>
      <c r="D108" s="12">
        <v>42</v>
      </c>
      <c r="E108" s="12" t="str">
        <f t="shared" si="9"/>
        <v>0</v>
      </c>
      <c r="F108" s="12" t="str">
        <f t="shared" si="10"/>
        <v>0000000042</v>
      </c>
      <c r="G108" s="38">
        <v>201708</v>
      </c>
      <c r="H108" s="39" t="s">
        <v>201</v>
      </c>
      <c r="I108" s="40" t="s">
        <v>202</v>
      </c>
      <c r="J108" s="45">
        <v>0.18333333333333335</v>
      </c>
      <c r="K108" s="41">
        <f t="shared" si="15"/>
        <v>4.4000000000000004</v>
      </c>
      <c r="L108" s="42">
        <f t="shared" si="11"/>
        <v>440.00000000000006</v>
      </c>
      <c r="M108" s="32" t="s">
        <v>203</v>
      </c>
      <c r="N108" s="17" t="str">
        <f t="shared" si="12"/>
        <v>00</v>
      </c>
      <c r="O108" s="43" t="str">
        <f t="shared" si="17"/>
        <v>000000440</v>
      </c>
      <c r="P108" s="41" t="str">
        <f t="shared" si="13"/>
        <v>000000440</v>
      </c>
      <c r="Q108" s="44" t="s">
        <v>204</v>
      </c>
    </row>
    <row r="109" spans="1:17" x14ac:dyDescent="0.25">
      <c r="A109" s="36" t="str">
        <f t="shared" si="16"/>
        <v>1000000000442017080203110000000710000000028</v>
      </c>
      <c r="B109" s="37">
        <v>10</v>
      </c>
      <c r="C109" s="32" t="s">
        <v>200</v>
      </c>
      <c r="D109" s="12">
        <v>44</v>
      </c>
      <c r="E109" s="12" t="str">
        <f t="shared" si="9"/>
        <v>0</v>
      </c>
      <c r="F109" s="12" t="str">
        <f t="shared" si="10"/>
        <v>0000000044</v>
      </c>
      <c r="G109" s="38">
        <v>201708</v>
      </c>
      <c r="H109" s="39" t="s">
        <v>201</v>
      </c>
      <c r="I109" s="40" t="s">
        <v>202</v>
      </c>
      <c r="J109" s="45">
        <v>2.9861111111111113E-2</v>
      </c>
      <c r="K109" s="41">
        <f t="shared" si="15"/>
        <v>0.71666666666666667</v>
      </c>
      <c r="L109" s="42">
        <f t="shared" si="11"/>
        <v>71.666666666666671</v>
      </c>
      <c r="M109" s="32" t="s">
        <v>203</v>
      </c>
      <c r="N109" s="17" t="str">
        <f t="shared" si="12"/>
        <v>000</v>
      </c>
      <c r="O109" s="43" t="str">
        <f t="shared" si="17"/>
        <v>000000071,6666666666667</v>
      </c>
      <c r="P109" s="41" t="str">
        <f t="shared" si="13"/>
        <v>000000071</v>
      </c>
      <c r="Q109" s="44" t="s">
        <v>204</v>
      </c>
    </row>
    <row r="110" spans="1:17" x14ac:dyDescent="0.25">
      <c r="A110" s="36" t="str">
        <f t="shared" si="16"/>
        <v>1000000000392017080203110000000160000000028</v>
      </c>
      <c r="B110" s="37">
        <v>10</v>
      </c>
      <c r="C110" s="32" t="s">
        <v>200</v>
      </c>
      <c r="D110" s="12">
        <v>39</v>
      </c>
      <c r="E110" s="12" t="str">
        <f t="shared" si="9"/>
        <v>0</v>
      </c>
      <c r="F110" s="12" t="str">
        <f t="shared" si="10"/>
        <v>0000000039</v>
      </c>
      <c r="G110" s="38">
        <v>201708</v>
      </c>
      <c r="H110" s="39" t="s">
        <v>201</v>
      </c>
      <c r="I110" s="40" t="s">
        <v>202</v>
      </c>
      <c r="J110" s="45">
        <v>6.9444444444444441E-3</v>
      </c>
      <c r="K110" s="41">
        <f t="shared" si="15"/>
        <v>0.16666666666666666</v>
      </c>
      <c r="L110" s="42">
        <f t="shared" si="11"/>
        <v>16.666666666666664</v>
      </c>
      <c r="M110" s="32" t="s">
        <v>203</v>
      </c>
      <c r="N110" s="17" t="str">
        <f t="shared" si="12"/>
        <v>000</v>
      </c>
      <c r="O110" s="43" t="str">
        <f t="shared" si="17"/>
        <v>000000016,6666666666667</v>
      </c>
      <c r="P110" s="41" t="str">
        <f t="shared" si="13"/>
        <v>000000016</v>
      </c>
      <c r="Q110" s="44" t="s">
        <v>204</v>
      </c>
    </row>
    <row r="111" spans="1:17" x14ac:dyDescent="0.25">
      <c r="A111" s="36" t="str">
        <f t="shared" si="16"/>
        <v>1000000000142017080203110000000000000000028</v>
      </c>
      <c r="B111" s="37">
        <v>10</v>
      </c>
      <c r="C111" s="32" t="s">
        <v>200</v>
      </c>
      <c r="D111" s="12">
        <v>14</v>
      </c>
      <c r="E111" s="12" t="str">
        <f t="shared" si="9"/>
        <v>0</v>
      </c>
      <c r="F111" s="12" t="str">
        <f t="shared" si="10"/>
        <v>0000000014</v>
      </c>
      <c r="G111" s="38">
        <v>201708</v>
      </c>
      <c r="H111" s="39" t="s">
        <v>201</v>
      </c>
      <c r="I111" s="40" t="s">
        <v>202</v>
      </c>
      <c r="J111" s="45">
        <v>0</v>
      </c>
      <c r="K111" s="41">
        <f t="shared" si="15"/>
        <v>0</v>
      </c>
      <c r="L111" s="42">
        <f t="shared" si="11"/>
        <v>0</v>
      </c>
      <c r="M111" s="32" t="s">
        <v>203</v>
      </c>
      <c r="N111" s="17" t="str">
        <f t="shared" si="12"/>
        <v>0000</v>
      </c>
      <c r="O111" s="43" t="str">
        <f t="shared" si="17"/>
        <v>000000000</v>
      </c>
      <c r="P111" s="41" t="str">
        <f t="shared" si="13"/>
        <v>000000000</v>
      </c>
      <c r="Q111" s="44" t="s">
        <v>204</v>
      </c>
    </row>
    <row r="112" spans="1:17" x14ac:dyDescent="0.25">
      <c r="A112" s="36" t="str">
        <f t="shared" si="16"/>
        <v>1000000000402017080203110000000300000000028</v>
      </c>
      <c r="B112" s="37">
        <v>10</v>
      </c>
      <c r="C112" s="32" t="s">
        <v>200</v>
      </c>
      <c r="D112" s="12">
        <v>40</v>
      </c>
      <c r="E112" s="12" t="str">
        <f t="shared" si="9"/>
        <v>0</v>
      </c>
      <c r="F112" s="12" t="str">
        <f t="shared" si="10"/>
        <v>0000000040</v>
      </c>
      <c r="G112" s="38">
        <v>201708</v>
      </c>
      <c r="H112" s="39" t="s">
        <v>201</v>
      </c>
      <c r="I112" s="40" t="s">
        <v>202</v>
      </c>
      <c r="J112" s="45">
        <v>1.2499999999999999E-2</v>
      </c>
      <c r="K112" s="41">
        <f t="shared" si="15"/>
        <v>0.3</v>
      </c>
      <c r="L112" s="42">
        <f t="shared" si="11"/>
        <v>30</v>
      </c>
      <c r="M112" s="32" t="s">
        <v>203</v>
      </c>
      <c r="N112" s="17" t="str">
        <f t="shared" si="12"/>
        <v>000</v>
      </c>
      <c r="O112" s="43" t="str">
        <f t="shared" si="17"/>
        <v>000000030</v>
      </c>
      <c r="P112" s="41" t="str">
        <f t="shared" si="13"/>
        <v>000000030</v>
      </c>
      <c r="Q112" s="44" t="s">
        <v>204</v>
      </c>
    </row>
    <row r="113" spans="1:17" x14ac:dyDescent="0.25">
      <c r="A113" s="36" t="str">
        <f t="shared" si="16"/>
        <v>1000000000692017080203110000000700000000028</v>
      </c>
      <c r="B113" s="37">
        <v>10</v>
      </c>
      <c r="C113" s="32" t="s">
        <v>200</v>
      </c>
      <c r="D113" s="12">
        <v>69</v>
      </c>
      <c r="E113" s="12" t="str">
        <f t="shared" si="9"/>
        <v>0</v>
      </c>
      <c r="F113" s="12" t="str">
        <f t="shared" si="10"/>
        <v>0000000069</v>
      </c>
      <c r="G113" s="38">
        <v>201708</v>
      </c>
      <c r="H113" s="39" t="s">
        <v>201</v>
      </c>
      <c r="I113" s="40" t="s">
        <v>202</v>
      </c>
      <c r="J113" s="45">
        <v>2.9166666666666664E-2</v>
      </c>
      <c r="K113" s="41">
        <f t="shared" si="15"/>
        <v>0.7</v>
      </c>
      <c r="L113" s="42">
        <f t="shared" si="11"/>
        <v>70</v>
      </c>
      <c r="M113" s="32" t="s">
        <v>203</v>
      </c>
      <c r="N113" s="17" t="str">
        <f t="shared" si="12"/>
        <v>000</v>
      </c>
      <c r="O113" s="43" t="str">
        <f t="shared" si="17"/>
        <v>000000070</v>
      </c>
      <c r="P113" s="41" t="str">
        <f t="shared" si="13"/>
        <v>000000070</v>
      </c>
      <c r="Q113" s="44" t="s">
        <v>204</v>
      </c>
    </row>
    <row r="114" spans="1:17" x14ac:dyDescent="0.25">
      <c r="A114" s="36" t="str">
        <f t="shared" si="16"/>
        <v>1000000000012017080203110000000000000000028</v>
      </c>
      <c r="B114" s="37">
        <v>10</v>
      </c>
      <c r="C114" s="32" t="s">
        <v>200</v>
      </c>
      <c r="D114" s="12">
        <v>1</v>
      </c>
      <c r="E114" s="12" t="str">
        <f t="shared" si="9"/>
        <v>00</v>
      </c>
      <c r="F114" s="12" t="str">
        <f t="shared" si="10"/>
        <v>0000000001</v>
      </c>
      <c r="G114" s="38">
        <v>201708</v>
      </c>
      <c r="H114" s="39" t="s">
        <v>201</v>
      </c>
      <c r="I114" s="40" t="s">
        <v>202</v>
      </c>
      <c r="J114" s="45">
        <v>0</v>
      </c>
      <c r="K114" s="41">
        <f t="shared" si="15"/>
        <v>0</v>
      </c>
      <c r="L114" s="42">
        <f t="shared" si="11"/>
        <v>0</v>
      </c>
      <c r="M114" s="32" t="s">
        <v>203</v>
      </c>
      <c r="N114" s="17" t="str">
        <f t="shared" si="12"/>
        <v>0000</v>
      </c>
      <c r="O114" s="43" t="str">
        <f t="shared" si="17"/>
        <v>000000000</v>
      </c>
      <c r="P114" s="41" t="str">
        <f t="shared" si="13"/>
        <v>000000000</v>
      </c>
      <c r="Q114" s="44" t="s">
        <v>204</v>
      </c>
    </row>
    <row r="115" spans="1:17" x14ac:dyDescent="0.25">
      <c r="A115" s="36" t="str">
        <f t="shared" si="16"/>
        <v>1000000000762017080203110000000360000000028</v>
      </c>
      <c r="B115" s="37">
        <v>10</v>
      </c>
      <c r="C115" s="32" t="s">
        <v>200</v>
      </c>
      <c r="D115" s="12">
        <v>76</v>
      </c>
      <c r="E115" s="12" t="str">
        <f t="shared" si="9"/>
        <v>0</v>
      </c>
      <c r="F115" s="12" t="str">
        <f t="shared" si="10"/>
        <v>0000000076</v>
      </c>
      <c r="G115" s="38">
        <v>201708</v>
      </c>
      <c r="H115" s="39" t="s">
        <v>201</v>
      </c>
      <c r="I115" s="40" t="s">
        <v>202</v>
      </c>
      <c r="J115" s="45">
        <v>1.5277777777777777E-2</v>
      </c>
      <c r="K115" s="41">
        <f t="shared" si="15"/>
        <v>0.36666666666666664</v>
      </c>
      <c r="L115" s="42">
        <f t="shared" si="11"/>
        <v>36.666666666666664</v>
      </c>
      <c r="M115" s="32" t="s">
        <v>203</v>
      </c>
      <c r="N115" s="17" t="str">
        <f t="shared" si="12"/>
        <v>000</v>
      </c>
      <c r="O115" s="43" t="str">
        <f t="shared" si="17"/>
        <v>000000036,6666666666667</v>
      </c>
      <c r="P115" s="41" t="str">
        <f t="shared" si="13"/>
        <v>000000036</v>
      </c>
      <c r="Q115" s="44" t="s">
        <v>204</v>
      </c>
    </row>
    <row r="116" spans="1:17" x14ac:dyDescent="0.25">
      <c r="A116" s="36" t="str">
        <f t="shared" si="16"/>
        <v>1000000000362017080203110000000180000000028</v>
      </c>
      <c r="B116" s="37">
        <v>10</v>
      </c>
      <c r="C116" s="32" t="s">
        <v>200</v>
      </c>
      <c r="D116" s="12">
        <v>36</v>
      </c>
      <c r="E116" s="12" t="str">
        <f t="shared" si="9"/>
        <v>0</v>
      </c>
      <c r="F116" s="12" t="str">
        <f t="shared" si="10"/>
        <v>0000000036</v>
      </c>
      <c r="G116" s="38">
        <v>201708</v>
      </c>
      <c r="H116" s="39" t="s">
        <v>201</v>
      </c>
      <c r="I116" s="40" t="s">
        <v>202</v>
      </c>
      <c r="J116" s="45">
        <v>7.6388888888888886E-3</v>
      </c>
      <c r="K116" s="41">
        <f t="shared" si="15"/>
        <v>0.18333333333333332</v>
      </c>
      <c r="L116" s="42">
        <f t="shared" si="11"/>
        <v>18.333333333333332</v>
      </c>
      <c r="M116" s="32" t="s">
        <v>203</v>
      </c>
      <c r="N116" s="17" t="str">
        <f t="shared" si="12"/>
        <v>000</v>
      </c>
      <c r="O116" s="43" t="str">
        <f t="shared" si="17"/>
        <v>000000018,3333333333333</v>
      </c>
      <c r="P116" s="41" t="str">
        <f t="shared" si="13"/>
        <v>000000018</v>
      </c>
      <c r="Q116" s="44" t="s">
        <v>204</v>
      </c>
    </row>
    <row r="117" spans="1:17" x14ac:dyDescent="0.25">
      <c r="A117" s="36" t="str">
        <f t="shared" si="16"/>
        <v>1000000000032017080203110000001230000000028</v>
      </c>
      <c r="B117" s="37">
        <v>10</v>
      </c>
      <c r="C117" s="32" t="s">
        <v>200</v>
      </c>
      <c r="D117" s="12">
        <v>3</v>
      </c>
      <c r="E117" s="12" t="str">
        <f t="shared" si="9"/>
        <v>00</v>
      </c>
      <c r="F117" s="12" t="str">
        <f t="shared" si="10"/>
        <v>0000000003</v>
      </c>
      <c r="G117" s="38">
        <v>201708</v>
      </c>
      <c r="H117" s="39" t="s">
        <v>201</v>
      </c>
      <c r="I117" s="40" t="s">
        <v>202</v>
      </c>
      <c r="J117" s="45">
        <v>5.1388888888888894E-2</v>
      </c>
      <c r="K117" s="41">
        <f t="shared" si="15"/>
        <v>1.2333333333333334</v>
      </c>
      <c r="L117" s="42">
        <f t="shared" si="11"/>
        <v>123.33333333333334</v>
      </c>
      <c r="M117" s="32" t="s">
        <v>203</v>
      </c>
      <c r="N117" s="17" t="str">
        <f t="shared" si="12"/>
        <v>00</v>
      </c>
      <c r="O117" s="43" t="str">
        <f t="shared" si="17"/>
        <v>000000123,333333333333</v>
      </c>
      <c r="P117" s="41" t="str">
        <f t="shared" si="13"/>
        <v>000000123</v>
      </c>
      <c r="Q117" s="44" t="s">
        <v>204</v>
      </c>
    </row>
    <row r="118" spans="1:17" x14ac:dyDescent="0.25">
      <c r="A118" s="36" t="str">
        <f t="shared" si="16"/>
        <v>1000000000172017080203110000000700000000028</v>
      </c>
      <c r="B118" s="37">
        <v>10</v>
      </c>
      <c r="C118" s="32" t="s">
        <v>200</v>
      </c>
      <c r="D118" s="12">
        <v>17</v>
      </c>
      <c r="E118" s="12" t="str">
        <f t="shared" si="9"/>
        <v>0</v>
      </c>
      <c r="F118" s="12" t="str">
        <f t="shared" si="10"/>
        <v>0000000017</v>
      </c>
      <c r="G118" s="38">
        <v>201708</v>
      </c>
      <c r="H118" s="39" t="s">
        <v>201</v>
      </c>
      <c r="I118" s="40" t="s">
        <v>202</v>
      </c>
      <c r="J118" s="45">
        <v>2.9166666666666664E-2</v>
      </c>
      <c r="K118" s="41">
        <f t="shared" si="15"/>
        <v>0.7</v>
      </c>
      <c r="L118" s="42">
        <f t="shared" si="11"/>
        <v>70</v>
      </c>
      <c r="M118" s="32" t="s">
        <v>203</v>
      </c>
      <c r="N118" s="17" t="str">
        <f t="shared" si="12"/>
        <v>000</v>
      </c>
      <c r="O118" s="43" t="str">
        <f t="shared" si="17"/>
        <v>000000070</v>
      </c>
      <c r="P118" s="41" t="str">
        <f t="shared" si="13"/>
        <v>000000070</v>
      </c>
      <c r="Q118" s="44" t="s">
        <v>204</v>
      </c>
    </row>
    <row r="119" spans="1:17" x14ac:dyDescent="0.25">
      <c r="A119" s="36" t="str">
        <f t="shared" si="16"/>
        <v>1000000000372017080203110000000930000000028</v>
      </c>
      <c r="B119" s="37">
        <v>10</v>
      </c>
      <c r="C119" s="32" t="s">
        <v>200</v>
      </c>
      <c r="D119" s="12">
        <v>37</v>
      </c>
      <c r="E119" s="12" t="str">
        <f t="shared" si="9"/>
        <v>0</v>
      </c>
      <c r="F119" s="12" t="str">
        <f t="shared" si="10"/>
        <v>0000000037</v>
      </c>
      <c r="G119" s="38">
        <v>201708</v>
      </c>
      <c r="H119" s="39" t="s">
        <v>201</v>
      </c>
      <c r="I119" s="40" t="s">
        <v>202</v>
      </c>
      <c r="J119" s="45">
        <v>3.888888888888889E-2</v>
      </c>
      <c r="K119" s="41">
        <f t="shared" si="15"/>
        <v>0.93333333333333335</v>
      </c>
      <c r="L119" s="42">
        <f t="shared" si="11"/>
        <v>93.333333333333329</v>
      </c>
      <c r="M119" s="32" t="s">
        <v>203</v>
      </c>
      <c r="N119" s="17" t="str">
        <f t="shared" si="12"/>
        <v>000</v>
      </c>
      <c r="O119" s="43" t="str">
        <f t="shared" si="17"/>
        <v>000000093,3333333333333</v>
      </c>
      <c r="P119" s="41" t="str">
        <f t="shared" si="13"/>
        <v>000000093</v>
      </c>
      <c r="Q119" s="44" t="s">
        <v>204</v>
      </c>
    </row>
    <row r="120" spans="1:17" x14ac:dyDescent="0.25">
      <c r="A120" s="36" t="str">
        <f t="shared" si="16"/>
        <v>1000000000062017080203110000000680000000028</v>
      </c>
      <c r="B120" s="37">
        <v>10</v>
      </c>
      <c r="C120" s="32" t="s">
        <v>200</v>
      </c>
      <c r="D120" s="12">
        <v>6</v>
      </c>
      <c r="E120" s="12" t="str">
        <f t="shared" si="9"/>
        <v>00</v>
      </c>
      <c r="F120" s="12" t="str">
        <f t="shared" si="10"/>
        <v>0000000006</v>
      </c>
      <c r="G120" s="38">
        <v>201708</v>
      </c>
      <c r="H120" s="39" t="s">
        <v>201</v>
      </c>
      <c r="I120" s="40" t="s">
        <v>202</v>
      </c>
      <c r="J120" s="45">
        <v>2.8472222222222222E-2</v>
      </c>
      <c r="K120" s="41">
        <f t="shared" si="15"/>
        <v>0.68333333333333335</v>
      </c>
      <c r="L120" s="42">
        <f t="shared" si="11"/>
        <v>68.333333333333329</v>
      </c>
      <c r="M120" s="32" t="s">
        <v>203</v>
      </c>
      <c r="N120" s="17" t="str">
        <f t="shared" si="12"/>
        <v>000</v>
      </c>
      <c r="O120" s="43" t="str">
        <f t="shared" si="17"/>
        <v>000000068,3333333333333</v>
      </c>
      <c r="P120" s="41" t="str">
        <f t="shared" si="13"/>
        <v>000000068</v>
      </c>
      <c r="Q120" s="44" t="s">
        <v>204</v>
      </c>
    </row>
    <row r="121" spans="1:17" x14ac:dyDescent="0.25">
      <c r="A121" s="36" t="str">
        <f t="shared" si="16"/>
        <v>1000000000122017080203110000000000000000028</v>
      </c>
      <c r="B121" s="37">
        <v>10</v>
      </c>
      <c r="C121" s="32" t="s">
        <v>200</v>
      </c>
      <c r="D121" s="12">
        <v>12</v>
      </c>
      <c r="E121" s="12" t="str">
        <f t="shared" si="9"/>
        <v>0</v>
      </c>
      <c r="F121" s="12" t="str">
        <f t="shared" si="10"/>
        <v>0000000012</v>
      </c>
      <c r="G121" s="38">
        <v>201708</v>
      </c>
      <c r="H121" s="39" t="s">
        <v>201</v>
      </c>
      <c r="I121" s="40" t="s">
        <v>202</v>
      </c>
      <c r="J121" s="45">
        <v>0</v>
      </c>
      <c r="K121" s="41">
        <f t="shared" si="15"/>
        <v>0</v>
      </c>
      <c r="L121" s="42">
        <f t="shared" si="11"/>
        <v>0</v>
      </c>
      <c r="M121" s="32" t="s">
        <v>203</v>
      </c>
      <c r="N121" s="17" t="str">
        <f t="shared" si="12"/>
        <v>0000</v>
      </c>
      <c r="O121" s="43" t="str">
        <f t="shared" si="17"/>
        <v>000000000</v>
      </c>
      <c r="P121" s="41" t="str">
        <f t="shared" si="13"/>
        <v>000000000</v>
      </c>
      <c r="Q121" s="44" t="s">
        <v>204</v>
      </c>
    </row>
    <row r="122" spans="1:17" x14ac:dyDescent="0.25">
      <c r="A122" s="36" t="str">
        <f t="shared" si="16"/>
        <v>1000000000802017080203110000000660000000028</v>
      </c>
      <c r="B122" s="37">
        <v>10</v>
      </c>
      <c r="C122" s="32" t="s">
        <v>200</v>
      </c>
      <c r="D122" s="12">
        <v>80</v>
      </c>
      <c r="E122" s="12" t="str">
        <f t="shared" si="9"/>
        <v>0</v>
      </c>
      <c r="F122" s="12" t="str">
        <f t="shared" si="10"/>
        <v>0000000080</v>
      </c>
      <c r="G122" s="38">
        <v>201708</v>
      </c>
      <c r="H122" s="39" t="s">
        <v>201</v>
      </c>
      <c r="I122" s="40" t="s">
        <v>202</v>
      </c>
      <c r="J122" s="45">
        <v>2.7777777777777776E-2</v>
      </c>
      <c r="K122" s="41">
        <f t="shared" si="15"/>
        <v>0.66666666666666663</v>
      </c>
      <c r="L122" s="42">
        <f t="shared" si="11"/>
        <v>66.666666666666657</v>
      </c>
      <c r="M122" s="32" t="s">
        <v>203</v>
      </c>
      <c r="N122" s="17" t="str">
        <f t="shared" si="12"/>
        <v>000</v>
      </c>
      <c r="O122" s="43" t="str">
        <f t="shared" si="17"/>
        <v>000000066,6666666666667</v>
      </c>
      <c r="P122" s="41" t="str">
        <f t="shared" si="13"/>
        <v>000000066</v>
      </c>
      <c r="Q122" s="44" t="s">
        <v>204</v>
      </c>
    </row>
    <row r="123" spans="1:17" x14ac:dyDescent="0.25">
      <c r="A123" s="36" t="str">
        <f t="shared" si="16"/>
        <v>1000000000412017080203110000000000000000028</v>
      </c>
      <c r="B123" s="37">
        <v>10</v>
      </c>
      <c r="C123" s="32" t="s">
        <v>200</v>
      </c>
      <c r="D123" s="12">
        <v>41</v>
      </c>
      <c r="E123" s="12" t="str">
        <f t="shared" si="9"/>
        <v>0</v>
      </c>
      <c r="F123" s="12" t="str">
        <f t="shared" si="10"/>
        <v>0000000041</v>
      </c>
      <c r="G123" s="38">
        <v>201708</v>
      </c>
      <c r="H123" s="39" t="s">
        <v>201</v>
      </c>
      <c r="I123" s="40" t="s">
        <v>202</v>
      </c>
      <c r="J123" s="45">
        <v>0</v>
      </c>
      <c r="K123" s="41">
        <f t="shared" si="15"/>
        <v>0</v>
      </c>
      <c r="L123" s="42">
        <f t="shared" si="11"/>
        <v>0</v>
      </c>
      <c r="M123" s="32" t="s">
        <v>203</v>
      </c>
      <c r="N123" s="17" t="str">
        <f t="shared" si="12"/>
        <v>0000</v>
      </c>
      <c r="O123" s="43" t="str">
        <f t="shared" si="17"/>
        <v>000000000</v>
      </c>
      <c r="P123" s="41" t="str">
        <f t="shared" si="13"/>
        <v>000000000</v>
      </c>
      <c r="Q123" s="44" t="s">
        <v>204</v>
      </c>
    </row>
    <row r="124" spans="1:17" x14ac:dyDescent="0.25">
      <c r="A124" s="36" t="str">
        <f t="shared" si="16"/>
        <v>1000000000132017080203110000002360000000028</v>
      </c>
      <c r="B124" s="37">
        <v>10</v>
      </c>
      <c r="C124" s="32" t="s">
        <v>200</v>
      </c>
      <c r="D124" s="12">
        <v>13</v>
      </c>
      <c r="E124" s="12" t="str">
        <f t="shared" si="9"/>
        <v>0</v>
      </c>
      <c r="F124" s="12" t="str">
        <f t="shared" si="10"/>
        <v>0000000013</v>
      </c>
      <c r="G124" s="38">
        <v>201708</v>
      </c>
      <c r="H124" s="39" t="s">
        <v>201</v>
      </c>
      <c r="I124" s="40" t="s">
        <v>202</v>
      </c>
      <c r="J124" s="45">
        <v>9.8611111111111108E-2</v>
      </c>
      <c r="K124" s="41">
        <f t="shared" si="15"/>
        <v>2.3666666666666667</v>
      </c>
      <c r="L124" s="42">
        <f t="shared" si="11"/>
        <v>236.66666666666666</v>
      </c>
      <c r="M124" s="32" t="s">
        <v>203</v>
      </c>
      <c r="N124" s="17" t="str">
        <f t="shared" si="12"/>
        <v>00</v>
      </c>
      <c r="O124" s="43" t="str">
        <f t="shared" si="17"/>
        <v>000000236,666666666667</v>
      </c>
      <c r="P124" s="41" t="str">
        <f t="shared" si="13"/>
        <v>000000236</v>
      </c>
      <c r="Q124" s="44" t="s">
        <v>204</v>
      </c>
    </row>
    <row r="125" spans="1:17" x14ac:dyDescent="0.25">
      <c r="A125" s="36" t="str">
        <f t="shared" si="16"/>
        <v>1000000000042017080203110000008860000000028</v>
      </c>
      <c r="B125" s="37">
        <v>10</v>
      </c>
      <c r="C125" s="32" t="s">
        <v>200</v>
      </c>
      <c r="D125" s="12">
        <v>4</v>
      </c>
      <c r="E125" s="12" t="str">
        <f t="shared" si="9"/>
        <v>00</v>
      </c>
      <c r="F125" s="12" t="str">
        <f t="shared" si="10"/>
        <v>0000000004</v>
      </c>
      <c r="G125" s="38">
        <v>201708</v>
      </c>
      <c r="H125" s="39" t="s">
        <v>201</v>
      </c>
      <c r="I125" s="40" t="s">
        <v>202</v>
      </c>
      <c r="J125" s="45">
        <v>0.36944444444444446</v>
      </c>
      <c r="K125" s="41">
        <f t="shared" si="15"/>
        <v>8.8666666666666671</v>
      </c>
      <c r="L125" s="42">
        <f t="shared" si="11"/>
        <v>886.66666666666674</v>
      </c>
      <c r="M125" s="32" t="s">
        <v>203</v>
      </c>
      <c r="N125" s="17" t="str">
        <f t="shared" si="12"/>
        <v>00</v>
      </c>
      <c r="O125" s="43" t="str">
        <f t="shared" si="17"/>
        <v>000000886,666666666667</v>
      </c>
      <c r="P125" s="41" t="str">
        <f t="shared" si="13"/>
        <v>000000886</v>
      </c>
      <c r="Q125" s="44" t="s">
        <v>204</v>
      </c>
    </row>
    <row r="126" spans="1:17" x14ac:dyDescent="0.25">
      <c r="A126" s="36" t="str">
        <f t="shared" si="16"/>
        <v>1000000000662017080203110000001150000000028</v>
      </c>
      <c r="B126" s="37">
        <v>10</v>
      </c>
      <c r="C126" s="32" t="s">
        <v>200</v>
      </c>
      <c r="D126" s="12">
        <v>66</v>
      </c>
      <c r="E126" s="12" t="str">
        <f t="shared" si="9"/>
        <v>0</v>
      </c>
      <c r="F126" s="12" t="str">
        <f t="shared" si="10"/>
        <v>0000000066</v>
      </c>
      <c r="G126" s="38">
        <v>201708</v>
      </c>
      <c r="H126" s="39" t="s">
        <v>201</v>
      </c>
      <c r="I126" s="40" t="s">
        <v>202</v>
      </c>
      <c r="J126" s="45">
        <v>4.7916666666666663E-2</v>
      </c>
      <c r="K126" s="41">
        <f t="shared" si="15"/>
        <v>1.1499999999999999</v>
      </c>
      <c r="L126" s="42">
        <f t="shared" si="11"/>
        <v>114.99999999999999</v>
      </c>
      <c r="M126" s="32" t="s">
        <v>203</v>
      </c>
      <c r="N126" s="17" t="str">
        <f t="shared" si="12"/>
        <v>00</v>
      </c>
      <c r="O126" s="43" t="str">
        <f t="shared" si="17"/>
        <v>000000115</v>
      </c>
      <c r="P126" s="41" t="str">
        <f t="shared" si="13"/>
        <v>000000115</v>
      </c>
      <c r="Q126" s="44" t="s">
        <v>204</v>
      </c>
    </row>
    <row r="127" spans="1:17" x14ac:dyDescent="0.25">
      <c r="A127" s="36" t="str">
        <f t="shared" si="16"/>
        <v>1000000000812017080203110000001750000000028</v>
      </c>
      <c r="B127" s="37">
        <v>10</v>
      </c>
      <c r="C127" s="32" t="s">
        <v>200</v>
      </c>
      <c r="D127" s="12">
        <v>81</v>
      </c>
      <c r="E127" s="12" t="str">
        <f t="shared" si="9"/>
        <v>0</v>
      </c>
      <c r="F127" s="12" t="str">
        <f t="shared" si="10"/>
        <v>0000000081</v>
      </c>
      <c r="G127" s="38">
        <v>201708</v>
      </c>
      <c r="H127" s="39" t="s">
        <v>201</v>
      </c>
      <c r="I127" s="40" t="s">
        <v>202</v>
      </c>
      <c r="J127" s="45">
        <v>7.2916666666666671E-2</v>
      </c>
      <c r="K127" s="41">
        <f t="shared" si="15"/>
        <v>1.75</v>
      </c>
      <c r="L127" s="42">
        <f t="shared" si="11"/>
        <v>175</v>
      </c>
      <c r="M127" s="32" t="s">
        <v>203</v>
      </c>
      <c r="N127" s="17" t="str">
        <f t="shared" si="12"/>
        <v>00</v>
      </c>
      <c r="O127" s="43" t="str">
        <f t="shared" si="17"/>
        <v>000000175</v>
      </c>
      <c r="P127" s="41" t="str">
        <f t="shared" si="13"/>
        <v>000000175</v>
      </c>
      <c r="Q127" s="44" t="s">
        <v>204</v>
      </c>
    </row>
    <row r="128" spans="1:17" x14ac:dyDescent="0.25">
      <c r="A128" s="36" t="str">
        <f t="shared" si="16"/>
        <v>1000000000262017080203110000004530000000028</v>
      </c>
      <c r="B128" s="37">
        <v>10</v>
      </c>
      <c r="C128" s="32" t="s">
        <v>200</v>
      </c>
      <c r="D128" s="12">
        <v>26</v>
      </c>
      <c r="E128" s="12" t="str">
        <f t="shared" si="9"/>
        <v>0</v>
      </c>
      <c r="F128" s="12" t="str">
        <f t="shared" si="10"/>
        <v>0000000026</v>
      </c>
      <c r="G128" s="38">
        <v>201708</v>
      </c>
      <c r="H128" s="39" t="s">
        <v>201</v>
      </c>
      <c r="I128" s="40" t="s">
        <v>202</v>
      </c>
      <c r="J128" s="45">
        <v>0.18888888888888888</v>
      </c>
      <c r="K128" s="41">
        <f t="shared" si="15"/>
        <v>4.5333333333333332</v>
      </c>
      <c r="L128" s="42">
        <f t="shared" si="11"/>
        <v>453.33333333333331</v>
      </c>
      <c r="M128" s="32" t="s">
        <v>203</v>
      </c>
      <c r="N128" s="17" t="str">
        <f t="shared" si="12"/>
        <v>00</v>
      </c>
      <c r="O128" s="43" t="str">
        <f t="shared" si="17"/>
        <v>000000453,333333333333</v>
      </c>
      <c r="P128" s="41" t="str">
        <f t="shared" si="13"/>
        <v>000000453</v>
      </c>
      <c r="Q128" s="44" t="s">
        <v>204</v>
      </c>
    </row>
    <row r="129" spans="1:17" x14ac:dyDescent="0.25">
      <c r="A129" s="36" t="str">
        <f t="shared" si="16"/>
        <v>1000000000832017080203110000000000000000028</v>
      </c>
      <c r="B129" s="37">
        <v>10</v>
      </c>
      <c r="C129" s="32" t="s">
        <v>200</v>
      </c>
      <c r="D129" s="12">
        <v>83</v>
      </c>
      <c r="E129" s="12" t="str">
        <f t="shared" si="9"/>
        <v>0</v>
      </c>
      <c r="F129" s="12" t="str">
        <f t="shared" si="10"/>
        <v>0000000083</v>
      </c>
      <c r="G129" s="38">
        <v>201708</v>
      </c>
      <c r="H129" s="39" t="s">
        <v>201</v>
      </c>
      <c r="I129" s="40" t="s">
        <v>202</v>
      </c>
      <c r="J129" s="45">
        <v>0</v>
      </c>
      <c r="K129" s="41">
        <f t="shared" si="15"/>
        <v>0</v>
      </c>
      <c r="L129" s="42">
        <f t="shared" si="11"/>
        <v>0</v>
      </c>
      <c r="M129" s="32" t="s">
        <v>203</v>
      </c>
      <c r="N129" s="17" t="str">
        <f t="shared" si="12"/>
        <v>0000</v>
      </c>
      <c r="O129" s="43" t="str">
        <f t="shared" si="17"/>
        <v>000000000</v>
      </c>
      <c r="P129" s="41" t="str">
        <f t="shared" si="13"/>
        <v>000000000</v>
      </c>
      <c r="Q129" s="44" t="s">
        <v>204</v>
      </c>
    </row>
    <row r="130" spans="1:17" x14ac:dyDescent="0.25">
      <c r="A130" s="36" t="str">
        <f t="shared" si="16"/>
        <v>1000000000382017080203110000001010000000028</v>
      </c>
      <c r="B130" s="37">
        <v>10</v>
      </c>
      <c r="C130" s="32" t="s">
        <v>200</v>
      </c>
      <c r="D130" s="12">
        <v>38</v>
      </c>
      <c r="E130" s="12" t="str">
        <f t="shared" si="9"/>
        <v>0</v>
      </c>
      <c r="F130" s="12" t="str">
        <f t="shared" si="10"/>
        <v>0000000038</v>
      </c>
      <c r="G130" s="38">
        <v>201708</v>
      </c>
      <c r="H130" s="39" t="s">
        <v>201</v>
      </c>
      <c r="I130" s="40" t="s">
        <v>202</v>
      </c>
      <c r="J130" s="45">
        <v>4.2361111111111106E-2</v>
      </c>
      <c r="K130" s="41">
        <f t="shared" si="15"/>
        <v>1.0166666666666666</v>
      </c>
      <c r="L130" s="42">
        <f t="shared" si="11"/>
        <v>101.66666666666666</v>
      </c>
      <c r="M130" s="32" t="s">
        <v>203</v>
      </c>
      <c r="N130" s="17" t="str">
        <f t="shared" si="12"/>
        <v>00</v>
      </c>
      <c r="O130" s="43" t="str">
        <f t="shared" si="17"/>
        <v>000000101,666666666667</v>
      </c>
      <c r="P130" s="41" t="str">
        <f t="shared" si="13"/>
        <v>000000101</v>
      </c>
      <c r="Q130" s="44" t="s">
        <v>204</v>
      </c>
    </row>
    <row r="131" spans="1:17" x14ac:dyDescent="0.25">
      <c r="A131" s="36" t="str">
        <f t="shared" si="16"/>
        <v>1000000000642017080203110000001260000000028</v>
      </c>
      <c r="B131" s="37">
        <v>10</v>
      </c>
      <c r="C131" s="32" t="s">
        <v>200</v>
      </c>
      <c r="D131" s="12">
        <v>64</v>
      </c>
      <c r="E131" s="12" t="str">
        <f t="shared" si="9"/>
        <v>0</v>
      </c>
      <c r="F131" s="12" t="str">
        <f t="shared" si="10"/>
        <v>0000000064</v>
      </c>
      <c r="G131" s="38">
        <v>201708</v>
      </c>
      <c r="H131" s="39" t="s">
        <v>201</v>
      </c>
      <c r="I131" s="40" t="s">
        <v>202</v>
      </c>
      <c r="J131" s="45">
        <v>5.2777777777777778E-2</v>
      </c>
      <c r="K131" s="41">
        <f t="shared" si="15"/>
        <v>1.2666666666666666</v>
      </c>
      <c r="L131" s="42">
        <f t="shared" si="11"/>
        <v>126.66666666666666</v>
      </c>
      <c r="M131" s="32" t="s">
        <v>203</v>
      </c>
      <c r="N131" s="17" t="str">
        <f t="shared" si="12"/>
        <v>00</v>
      </c>
      <c r="O131" s="43" t="str">
        <f t="shared" si="17"/>
        <v>000000126,666666666667</v>
      </c>
      <c r="P131" s="41" t="str">
        <f t="shared" si="13"/>
        <v>000000126</v>
      </c>
      <c r="Q131" s="44" t="s">
        <v>204</v>
      </c>
    </row>
    <row r="132" spans="1:17" x14ac:dyDescent="0.25">
      <c r="A132" s="36" t="str">
        <f t="shared" si="16"/>
        <v>1000000000492017080203110000000280000000028</v>
      </c>
      <c r="B132" s="37">
        <v>10</v>
      </c>
      <c r="C132" s="32" t="s">
        <v>200</v>
      </c>
      <c r="D132" s="12">
        <v>49</v>
      </c>
      <c r="E132" s="12" t="str">
        <f t="shared" si="9"/>
        <v>0</v>
      </c>
      <c r="F132" s="12" t="str">
        <f t="shared" si="10"/>
        <v>0000000049</v>
      </c>
      <c r="G132" s="38">
        <v>201708</v>
      </c>
      <c r="H132" s="39" t="s">
        <v>201</v>
      </c>
      <c r="I132" s="40" t="s">
        <v>202</v>
      </c>
      <c r="J132" s="45">
        <v>1.1805555555555555E-2</v>
      </c>
      <c r="K132" s="41">
        <f t="shared" si="15"/>
        <v>0.28333333333333333</v>
      </c>
      <c r="L132" s="42">
        <f t="shared" si="11"/>
        <v>28.333333333333332</v>
      </c>
      <c r="M132" s="32" t="s">
        <v>203</v>
      </c>
      <c r="N132" s="17" t="str">
        <f t="shared" si="12"/>
        <v>000</v>
      </c>
      <c r="O132" s="43" t="str">
        <f t="shared" si="17"/>
        <v>000000028,3333333333333</v>
      </c>
      <c r="P132" s="41" t="str">
        <f t="shared" si="13"/>
        <v>000000028</v>
      </c>
      <c r="Q132" s="44" t="s">
        <v>204</v>
      </c>
    </row>
    <row r="133" spans="1:17" x14ac:dyDescent="0.25">
      <c r="A133" s="36" t="str">
        <f t="shared" si="16"/>
        <v>1000000000162017080203110000000780000000028</v>
      </c>
      <c r="B133" s="37">
        <v>10</v>
      </c>
      <c r="C133" s="32" t="s">
        <v>200</v>
      </c>
      <c r="D133" s="12">
        <v>16</v>
      </c>
      <c r="E133" s="12" t="str">
        <f t="shared" ref="E133:E196" si="18">IF(D133&gt;9,"0",IF(D133&lt;10,"00",0))</f>
        <v>0</v>
      </c>
      <c r="F133" s="12" t="str">
        <f t="shared" si="10"/>
        <v>0000000016</v>
      </c>
      <c r="G133" s="38">
        <v>201708</v>
      </c>
      <c r="H133" s="39" t="s">
        <v>201</v>
      </c>
      <c r="I133" s="40" t="s">
        <v>202</v>
      </c>
      <c r="J133" s="45">
        <v>3.2638888888888891E-2</v>
      </c>
      <c r="K133" s="41">
        <f t="shared" si="15"/>
        <v>0.78333333333333344</v>
      </c>
      <c r="L133" s="42">
        <f t="shared" si="11"/>
        <v>78.333333333333343</v>
      </c>
      <c r="M133" s="32" t="s">
        <v>203</v>
      </c>
      <c r="N133" s="17" t="str">
        <f t="shared" si="12"/>
        <v>000</v>
      </c>
      <c r="O133" s="43" t="str">
        <f t="shared" si="17"/>
        <v>000000078,3333333333333</v>
      </c>
      <c r="P133" s="41" t="str">
        <f t="shared" si="13"/>
        <v>000000078</v>
      </c>
      <c r="Q133" s="44" t="s">
        <v>204</v>
      </c>
    </row>
    <row r="134" spans="1:17" x14ac:dyDescent="0.25">
      <c r="A134" s="36" t="str">
        <f t="shared" si="16"/>
        <v>10000000000201708110000000000000000028</v>
      </c>
      <c r="B134" s="37">
        <v>10</v>
      </c>
      <c r="C134" s="32" t="s">
        <v>200</v>
      </c>
      <c r="D134" s="12"/>
      <c r="E134" s="12" t="str">
        <f t="shared" si="18"/>
        <v>00</v>
      </c>
      <c r="F134" s="12" t="str">
        <f t="shared" ref="F134:F197" si="19">C134&amp;E134&amp;D134</f>
        <v>000000000</v>
      </c>
      <c r="G134" s="38">
        <v>201708</v>
      </c>
      <c r="H134" s="11"/>
      <c r="I134" s="40" t="s">
        <v>202</v>
      </c>
      <c r="J134" s="45"/>
      <c r="K134" s="41">
        <f t="shared" si="15"/>
        <v>0</v>
      </c>
      <c r="L134" s="42">
        <f t="shared" ref="L134:L197" si="20">K134*100</f>
        <v>0</v>
      </c>
      <c r="M134" s="32" t="s">
        <v>203</v>
      </c>
      <c r="N134" s="17" t="str">
        <f t="shared" ref="N134:N197" si="21">IF(L134&lt;=9,"0000",IF(AND(L134&gt;=10,L134&lt;=99),"000",IF(AND(L134&gt;=100,L134&lt;=999),"00",IF(L134&gt;=1000,"0",""))))</f>
        <v>0000</v>
      </c>
      <c r="O134" s="43" t="str">
        <f t="shared" si="17"/>
        <v>000000000</v>
      </c>
      <c r="P134" s="41" t="str">
        <f t="shared" ref="P134:P197" si="22">LEFT(O134,9)</f>
        <v>000000000</v>
      </c>
      <c r="Q134" s="44" t="s">
        <v>204</v>
      </c>
    </row>
    <row r="135" spans="1:17" x14ac:dyDescent="0.25">
      <c r="A135" s="36" t="str">
        <f t="shared" si="16"/>
        <v>10000000000201708110000000000000000028</v>
      </c>
      <c r="B135" s="37">
        <v>10</v>
      </c>
      <c r="C135" s="32" t="s">
        <v>200</v>
      </c>
      <c r="D135" s="12"/>
      <c r="E135" s="12" t="str">
        <f t="shared" si="18"/>
        <v>00</v>
      </c>
      <c r="F135" s="12" t="str">
        <f t="shared" si="19"/>
        <v>000000000</v>
      </c>
      <c r="G135" s="38">
        <v>201708</v>
      </c>
      <c r="H135" s="11"/>
      <c r="I135" s="40" t="s">
        <v>202</v>
      </c>
      <c r="J135" s="45"/>
      <c r="K135" s="41">
        <f t="shared" si="15"/>
        <v>0</v>
      </c>
      <c r="L135" s="42">
        <f t="shared" si="20"/>
        <v>0</v>
      </c>
      <c r="M135" s="32" t="s">
        <v>203</v>
      </c>
      <c r="N135" s="17" t="str">
        <f t="shared" si="21"/>
        <v>0000</v>
      </c>
      <c r="O135" s="43" t="str">
        <f t="shared" si="17"/>
        <v>000000000</v>
      </c>
      <c r="P135" s="41" t="str">
        <f t="shared" si="22"/>
        <v>000000000</v>
      </c>
      <c r="Q135" s="44" t="s">
        <v>204</v>
      </c>
    </row>
    <row r="136" spans="1:17" x14ac:dyDescent="0.25">
      <c r="A136" s="36" t="str">
        <f t="shared" si="16"/>
        <v>10000000000201708110000000000000000028</v>
      </c>
      <c r="B136" s="37">
        <v>10</v>
      </c>
      <c r="C136" s="32" t="s">
        <v>200</v>
      </c>
      <c r="D136" s="12"/>
      <c r="E136" s="12" t="str">
        <f t="shared" si="18"/>
        <v>00</v>
      </c>
      <c r="F136" s="12" t="str">
        <f t="shared" si="19"/>
        <v>000000000</v>
      </c>
      <c r="G136" s="38">
        <v>201708</v>
      </c>
      <c r="H136" s="11"/>
      <c r="I136" s="40" t="s">
        <v>202</v>
      </c>
      <c r="J136" s="45"/>
      <c r="K136" s="41">
        <f t="shared" si="15"/>
        <v>0</v>
      </c>
      <c r="L136" s="42">
        <f t="shared" si="20"/>
        <v>0</v>
      </c>
      <c r="M136" s="32" t="s">
        <v>203</v>
      </c>
      <c r="N136" s="17" t="str">
        <f t="shared" si="21"/>
        <v>0000</v>
      </c>
      <c r="O136" s="43" t="str">
        <f t="shared" si="17"/>
        <v>000000000</v>
      </c>
      <c r="P136" s="41" t="str">
        <f t="shared" si="22"/>
        <v>000000000</v>
      </c>
      <c r="Q136" s="44" t="s">
        <v>204</v>
      </c>
    </row>
    <row r="137" spans="1:17" x14ac:dyDescent="0.25">
      <c r="A137" s="36" t="str">
        <f t="shared" si="16"/>
        <v>10000000000201708110000000000000000028</v>
      </c>
      <c r="B137" s="37">
        <v>10</v>
      </c>
      <c r="C137" s="32" t="s">
        <v>200</v>
      </c>
      <c r="D137" s="12"/>
      <c r="E137" s="12" t="str">
        <f t="shared" si="18"/>
        <v>00</v>
      </c>
      <c r="F137" s="12" t="str">
        <f t="shared" si="19"/>
        <v>000000000</v>
      </c>
      <c r="G137" s="38">
        <v>201708</v>
      </c>
      <c r="H137" s="11"/>
      <c r="I137" s="40" t="s">
        <v>202</v>
      </c>
      <c r="J137" s="45"/>
      <c r="K137" s="41">
        <f t="shared" ref="K137:K200" si="23">J137*24</f>
        <v>0</v>
      </c>
      <c r="L137" s="42">
        <f t="shared" si="20"/>
        <v>0</v>
      </c>
      <c r="M137" s="32" t="s">
        <v>203</v>
      </c>
      <c r="N137" s="17" t="str">
        <f t="shared" si="21"/>
        <v>0000</v>
      </c>
      <c r="O137" s="43" t="str">
        <f t="shared" si="17"/>
        <v>000000000</v>
      </c>
      <c r="P137" s="41" t="str">
        <f t="shared" si="22"/>
        <v>000000000</v>
      </c>
      <c r="Q137" s="44" t="s">
        <v>204</v>
      </c>
    </row>
    <row r="138" spans="1:17" x14ac:dyDescent="0.25">
      <c r="A138" s="36" t="str">
        <f t="shared" si="16"/>
        <v>10000000000201708110000000000000000028</v>
      </c>
      <c r="B138" s="37">
        <v>10</v>
      </c>
      <c r="C138" s="32" t="s">
        <v>200</v>
      </c>
      <c r="D138" s="12"/>
      <c r="E138" s="12" t="str">
        <f t="shared" si="18"/>
        <v>00</v>
      </c>
      <c r="F138" s="12" t="str">
        <f t="shared" si="19"/>
        <v>000000000</v>
      </c>
      <c r="G138" s="38">
        <v>201708</v>
      </c>
      <c r="H138" s="11"/>
      <c r="I138" s="40" t="s">
        <v>202</v>
      </c>
      <c r="J138" s="45"/>
      <c r="K138" s="41">
        <f t="shared" si="23"/>
        <v>0</v>
      </c>
      <c r="L138" s="42">
        <f t="shared" si="20"/>
        <v>0</v>
      </c>
      <c r="M138" s="32" t="s">
        <v>203</v>
      </c>
      <c r="N138" s="17" t="str">
        <f t="shared" si="21"/>
        <v>0000</v>
      </c>
      <c r="O138" s="43" t="str">
        <f t="shared" si="17"/>
        <v>000000000</v>
      </c>
      <c r="P138" s="41" t="str">
        <f t="shared" si="22"/>
        <v>000000000</v>
      </c>
      <c r="Q138" s="44" t="s">
        <v>204</v>
      </c>
    </row>
    <row r="139" spans="1:17" x14ac:dyDescent="0.25">
      <c r="A139" s="36" t="str">
        <f t="shared" ref="A139:A202" si="24">B139&amp;F139&amp;G139&amp;H139&amp;I139&amp;P139&amp;Q139</f>
        <v>10000000000201708110000000000000000028</v>
      </c>
      <c r="B139" s="37">
        <v>10</v>
      </c>
      <c r="C139" s="32" t="s">
        <v>200</v>
      </c>
      <c r="D139" s="12"/>
      <c r="E139" s="12" t="str">
        <f t="shared" si="18"/>
        <v>00</v>
      </c>
      <c r="F139" s="12" t="str">
        <f t="shared" si="19"/>
        <v>000000000</v>
      </c>
      <c r="G139" s="38">
        <v>201708</v>
      </c>
      <c r="H139" s="11"/>
      <c r="I139" s="40" t="s">
        <v>202</v>
      </c>
      <c r="J139" s="45"/>
      <c r="K139" s="41">
        <f t="shared" si="23"/>
        <v>0</v>
      </c>
      <c r="L139" s="42">
        <f t="shared" si="20"/>
        <v>0</v>
      </c>
      <c r="M139" s="32" t="s">
        <v>203</v>
      </c>
      <c r="N139" s="17" t="str">
        <f t="shared" si="21"/>
        <v>0000</v>
      </c>
      <c r="O139" s="43" t="str">
        <f t="shared" si="17"/>
        <v>000000000</v>
      </c>
      <c r="P139" s="41" t="str">
        <f t="shared" si="22"/>
        <v>000000000</v>
      </c>
      <c r="Q139" s="44" t="s">
        <v>204</v>
      </c>
    </row>
    <row r="140" spans="1:17" x14ac:dyDescent="0.25">
      <c r="A140" s="36" t="str">
        <f t="shared" si="24"/>
        <v>10000000000201708110000000000000000028</v>
      </c>
      <c r="B140" s="37">
        <v>10</v>
      </c>
      <c r="C140" s="32" t="s">
        <v>200</v>
      </c>
      <c r="D140" s="12"/>
      <c r="E140" s="12" t="str">
        <f t="shared" si="18"/>
        <v>00</v>
      </c>
      <c r="F140" s="12" t="str">
        <f t="shared" si="19"/>
        <v>000000000</v>
      </c>
      <c r="G140" s="38">
        <v>201708</v>
      </c>
      <c r="H140" s="11"/>
      <c r="I140" s="40" t="s">
        <v>202</v>
      </c>
      <c r="J140" s="45"/>
      <c r="K140" s="41">
        <f t="shared" si="23"/>
        <v>0</v>
      </c>
      <c r="L140" s="42">
        <f t="shared" si="20"/>
        <v>0</v>
      </c>
      <c r="M140" s="32" t="s">
        <v>203</v>
      </c>
      <c r="N140" s="17" t="str">
        <f t="shared" si="21"/>
        <v>0000</v>
      </c>
      <c r="O140" s="43" t="str">
        <f t="shared" si="17"/>
        <v>000000000</v>
      </c>
      <c r="P140" s="41" t="str">
        <f t="shared" si="22"/>
        <v>000000000</v>
      </c>
      <c r="Q140" s="44" t="s">
        <v>204</v>
      </c>
    </row>
    <row r="141" spans="1:17" x14ac:dyDescent="0.25">
      <c r="A141" s="36" t="str">
        <f t="shared" si="24"/>
        <v>10000000000201708110000000000000000028</v>
      </c>
      <c r="B141" s="37">
        <v>10</v>
      </c>
      <c r="C141" s="32" t="s">
        <v>200</v>
      </c>
      <c r="D141" s="12"/>
      <c r="E141" s="12" t="str">
        <f t="shared" si="18"/>
        <v>00</v>
      </c>
      <c r="F141" s="12" t="str">
        <f t="shared" si="19"/>
        <v>000000000</v>
      </c>
      <c r="G141" s="38">
        <v>201708</v>
      </c>
      <c r="H141" s="11"/>
      <c r="I141" s="40" t="s">
        <v>202</v>
      </c>
      <c r="J141" s="45"/>
      <c r="K141" s="41">
        <f t="shared" si="23"/>
        <v>0</v>
      </c>
      <c r="L141" s="42">
        <f t="shared" si="20"/>
        <v>0</v>
      </c>
      <c r="M141" s="32" t="s">
        <v>203</v>
      </c>
      <c r="N141" s="17" t="str">
        <f t="shared" si="21"/>
        <v>0000</v>
      </c>
      <c r="O141" s="43" t="str">
        <f t="shared" ref="O141:O204" si="25">M141&amp;N141&amp;L141</f>
        <v>000000000</v>
      </c>
      <c r="P141" s="41" t="str">
        <f t="shared" si="22"/>
        <v>000000000</v>
      </c>
      <c r="Q141" s="44" t="s">
        <v>204</v>
      </c>
    </row>
    <row r="142" spans="1:17" x14ac:dyDescent="0.25">
      <c r="A142" s="36" t="str">
        <f t="shared" si="24"/>
        <v>10000000000201708110000000000000000028</v>
      </c>
      <c r="B142" s="37">
        <v>10</v>
      </c>
      <c r="C142" s="32" t="s">
        <v>200</v>
      </c>
      <c r="D142" s="12"/>
      <c r="E142" s="12" t="str">
        <f t="shared" si="18"/>
        <v>00</v>
      </c>
      <c r="F142" s="12" t="str">
        <f t="shared" si="19"/>
        <v>000000000</v>
      </c>
      <c r="G142" s="38">
        <v>201708</v>
      </c>
      <c r="H142" s="11"/>
      <c r="I142" s="40" t="s">
        <v>202</v>
      </c>
      <c r="J142" s="11"/>
      <c r="K142" s="41">
        <f t="shared" si="23"/>
        <v>0</v>
      </c>
      <c r="L142" s="42">
        <f t="shared" si="20"/>
        <v>0</v>
      </c>
      <c r="M142" s="32" t="s">
        <v>203</v>
      </c>
      <c r="N142" s="17" t="str">
        <f t="shared" si="21"/>
        <v>0000</v>
      </c>
      <c r="O142" s="43" t="str">
        <f t="shared" si="25"/>
        <v>000000000</v>
      </c>
      <c r="P142" s="41" t="str">
        <f t="shared" si="22"/>
        <v>000000000</v>
      </c>
      <c r="Q142" s="44" t="s">
        <v>204</v>
      </c>
    </row>
    <row r="143" spans="1:17" x14ac:dyDescent="0.25">
      <c r="A143" s="36" t="str">
        <f t="shared" si="24"/>
        <v>10000000000201708110000000000000000028</v>
      </c>
      <c r="B143" s="37">
        <v>10</v>
      </c>
      <c r="C143" s="32" t="s">
        <v>200</v>
      </c>
      <c r="D143" s="12"/>
      <c r="E143" s="12" t="str">
        <f t="shared" si="18"/>
        <v>00</v>
      </c>
      <c r="F143" s="12" t="str">
        <f t="shared" si="19"/>
        <v>000000000</v>
      </c>
      <c r="G143" s="38">
        <v>201708</v>
      </c>
      <c r="H143" s="11"/>
      <c r="I143" s="40" t="s">
        <v>202</v>
      </c>
      <c r="J143" s="11"/>
      <c r="K143" s="41">
        <f t="shared" si="23"/>
        <v>0</v>
      </c>
      <c r="L143" s="42">
        <f t="shared" si="20"/>
        <v>0</v>
      </c>
      <c r="M143" s="32" t="s">
        <v>203</v>
      </c>
      <c r="N143" s="17" t="str">
        <f t="shared" si="21"/>
        <v>0000</v>
      </c>
      <c r="O143" s="43" t="str">
        <f t="shared" si="25"/>
        <v>000000000</v>
      </c>
      <c r="P143" s="41" t="str">
        <f t="shared" si="22"/>
        <v>000000000</v>
      </c>
      <c r="Q143" s="44" t="s">
        <v>204</v>
      </c>
    </row>
    <row r="144" spans="1:17" x14ac:dyDescent="0.25">
      <c r="A144" s="36" t="str">
        <f t="shared" si="24"/>
        <v>10000000000201708110000000000000000028</v>
      </c>
      <c r="B144" s="37">
        <v>10</v>
      </c>
      <c r="C144" s="32" t="s">
        <v>200</v>
      </c>
      <c r="D144" s="12"/>
      <c r="E144" s="12" t="str">
        <f t="shared" si="18"/>
        <v>00</v>
      </c>
      <c r="F144" s="12" t="str">
        <f t="shared" si="19"/>
        <v>000000000</v>
      </c>
      <c r="G144" s="38">
        <v>201708</v>
      </c>
      <c r="H144" s="11"/>
      <c r="I144" s="40" t="s">
        <v>202</v>
      </c>
      <c r="J144" s="11"/>
      <c r="K144" s="41">
        <f t="shared" si="23"/>
        <v>0</v>
      </c>
      <c r="L144" s="42">
        <f t="shared" si="20"/>
        <v>0</v>
      </c>
      <c r="M144" s="32" t="s">
        <v>203</v>
      </c>
      <c r="N144" s="17" t="str">
        <f t="shared" si="21"/>
        <v>0000</v>
      </c>
      <c r="O144" s="43" t="str">
        <f t="shared" si="25"/>
        <v>000000000</v>
      </c>
      <c r="P144" s="41" t="str">
        <f t="shared" si="22"/>
        <v>000000000</v>
      </c>
      <c r="Q144" s="44" t="s">
        <v>204</v>
      </c>
    </row>
    <row r="145" spans="1:17" x14ac:dyDescent="0.25">
      <c r="A145" s="36" t="str">
        <f t="shared" si="24"/>
        <v>10000000000201708110000000000000000028</v>
      </c>
      <c r="B145" s="37">
        <v>10</v>
      </c>
      <c r="C145" s="32" t="s">
        <v>200</v>
      </c>
      <c r="D145" s="12"/>
      <c r="E145" s="12" t="str">
        <f t="shared" si="18"/>
        <v>00</v>
      </c>
      <c r="F145" s="12" t="str">
        <f t="shared" si="19"/>
        <v>000000000</v>
      </c>
      <c r="G145" s="38">
        <v>201708</v>
      </c>
      <c r="H145" s="11"/>
      <c r="I145" s="40" t="s">
        <v>202</v>
      </c>
      <c r="J145" s="11"/>
      <c r="K145" s="41">
        <f t="shared" si="23"/>
        <v>0</v>
      </c>
      <c r="L145" s="42">
        <f t="shared" si="20"/>
        <v>0</v>
      </c>
      <c r="M145" s="32" t="s">
        <v>203</v>
      </c>
      <c r="N145" s="17" t="str">
        <f t="shared" si="21"/>
        <v>0000</v>
      </c>
      <c r="O145" s="43" t="str">
        <f t="shared" si="25"/>
        <v>000000000</v>
      </c>
      <c r="P145" s="41" t="str">
        <f t="shared" si="22"/>
        <v>000000000</v>
      </c>
      <c r="Q145" s="44" t="s">
        <v>204</v>
      </c>
    </row>
    <row r="146" spans="1:17" x14ac:dyDescent="0.25">
      <c r="A146" s="36" t="str">
        <f t="shared" si="24"/>
        <v>10000000000201708110000000000000000028</v>
      </c>
      <c r="B146" s="37">
        <v>10</v>
      </c>
      <c r="C146" s="32" t="s">
        <v>200</v>
      </c>
      <c r="D146" s="12"/>
      <c r="E146" s="12" t="str">
        <f t="shared" si="18"/>
        <v>00</v>
      </c>
      <c r="F146" s="12" t="str">
        <f t="shared" si="19"/>
        <v>000000000</v>
      </c>
      <c r="G146" s="38">
        <v>201708</v>
      </c>
      <c r="H146" s="11"/>
      <c r="I146" s="40" t="s">
        <v>202</v>
      </c>
      <c r="J146" s="11"/>
      <c r="K146" s="41">
        <f t="shared" si="23"/>
        <v>0</v>
      </c>
      <c r="L146" s="42">
        <f t="shared" si="20"/>
        <v>0</v>
      </c>
      <c r="M146" s="32" t="s">
        <v>203</v>
      </c>
      <c r="N146" s="17" t="str">
        <f t="shared" si="21"/>
        <v>0000</v>
      </c>
      <c r="O146" s="43" t="str">
        <f t="shared" si="25"/>
        <v>000000000</v>
      </c>
      <c r="P146" s="41" t="str">
        <f t="shared" si="22"/>
        <v>000000000</v>
      </c>
      <c r="Q146" s="44" t="s">
        <v>204</v>
      </c>
    </row>
    <row r="147" spans="1:17" x14ac:dyDescent="0.25">
      <c r="A147" s="36" t="str">
        <f t="shared" si="24"/>
        <v>10000000000201708110000000000000000028</v>
      </c>
      <c r="B147" s="37">
        <v>10</v>
      </c>
      <c r="C147" s="32" t="s">
        <v>200</v>
      </c>
      <c r="D147" s="12"/>
      <c r="E147" s="12" t="str">
        <f t="shared" si="18"/>
        <v>00</v>
      </c>
      <c r="F147" s="12" t="str">
        <f t="shared" si="19"/>
        <v>000000000</v>
      </c>
      <c r="G147" s="38">
        <v>201708</v>
      </c>
      <c r="H147" s="11"/>
      <c r="I147" s="40" t="s">
        <v>202</v>
      </c>
      <c r="J147" s="11"/>
      <c r="K147" s="41">
        <f t="shared" si="23"/>
        <v>0</v>
      </c>
      <c r="L147" s="42">
        <f t="shared" si="20"/>
        <v>0</v>
      </c>
      <c r="M147" s="32" t="s">
        <v>203</v>
      </c>
      <c r="N147" s="17" t="str">
        <f t="shared" si="21"/>
        <v>0000</v>
      </c>
      <c r="O147" s="43" t="str">
        <f t="shared" si="25"/>
        <v>000000000</v>
      </c>
      <c r="P147" s="41" t="str">
        <f t="shared" si="22"/>
        <v>000000000</v>
      </c>
      <c r="Q147" s="44" t="s">
        <v>204</v>
      </c>
    </row>
    <row r="148" spans="1:17" x14ac:dyDescent="0.25">
      <c r="A148" s="36" t="str">
        <f t="shared" si="24"/>
        <v>10000000000201708110000000000000000028</v>
      </c>
      <c r="B148" s="37">
        <v>10</v>
      </c>
      <c r="C148" s="32" t="s">
        <v>200</v>
      </c>
      <c r="D148" s="12"/>
      <c r="E148" s="12" t="str">
        <f t="shared" si="18"/>
        <v>00</v>
      </c>
      <c r="F148" s="12" t="str">
        <f t="shared" si="19"/>
        <v>000000000</v>
      </c>
      <c r="G148" s="38">
        <v>201708</v>
      </c>
      <c r="H148" s="11"/>
      <c r="I148" s="40" t="s">
        <v>202</v>
      </c>
      <c r="J148" s="11"/>
      <c r="K148" s="41">
        <f t="shared" si="23"/>
        <v>0</v>
      </c>
      <c r="L148" s="42">
        <f t="shared" si="20"/>
        <v>0</v>
      </c>
      <c r="M148" s="32" t="s">
        <v>203</v>
      </c>
      <c r="N148" s="17" t="str">
        <f t="shared" si="21"/>
        <v>0000</v>
      </c>
      <c r="O148" s="43" t="str">
        <f t="shared" si="25"/>
        <v>000000000</v>
      </c>
      <c r="P148" s="41" t="str">
        <f t="shared" si="22"/>
        <v>000000000</v>
      </c>
      <c r="Q148" s="44" t="s">
        <v>204</v>
      </c>
    </row>
    <row r="149" spans="1:17" x14ac:dyDescent="0.25">
      <c r="A149" s="36" t="str">
        <f t="shared" si="24"/>
        <v>10000000000201708110000000000000000028</v>
      </c>
      <c r="B149" s="37">
        <v>10</v>
      </c>
      <c r="C149" s="32" t="s">
        <v>200</v>
      </c>
      <c r="D149" s="12"/>
      <c r="E149" s="12" t="str">
        <f t="shared" si="18"/>
        <v>00</v>
      </c>
      <c r="F149" s="12" t="str">
        <f t="shared" si="19"/>
        <v>000000000</v>
      </c>
      <c r="G149" s="38">
        <v>201708</v>
      </c>
      <c r="H149" s="11"/>
      <c r="I149" s="40" t="s">
        <v>202</v>
      </c>
      <c r="J149" s="11"/>
      <c r="K149" s="41">
        <f t="shared" si="23"/>
        <v>0</v>
      </c>
      <c r="L149" s="42">
        <f t="shared" si="20"/>
        <v>0</v>
      </c>
      <c r="M149" s="32" t="s">
        <v>203</v>
      </c>
      <c r="N149" s="17" t="str">
        <f t="shared" si="21"/>
        <v>0000</v>
      </c>
      <c r="O149" s="43" t="str">
        <f t="shared" si="25"/>
        <v>000000000</v>
      </c>
      <c r="P149" s="41" t="str">
        <f t="shared" si="22"/>
        <v>000000000</v>
      </c>
      <c r="Q149" s="44" t="s">
        <v>204</v>
      </c>
    </row>
    <row r="150" spans="1:17" x14ac:dyDescent="0.25">
      <c r="A150" s="36" t="str">
        <f t="shared" si="24"/>
        <v>10000000000201708110000000000000000028</v>
      </c>
      <c r="B150" s="37">
        <v>10</v>
      </c>
      <c r="C150" s="32" t="s">
        <v>200</v>
      </c>
      <c r="D150" s="12"/>
      <c r="E150" s="12" t="str">
        <f t="shared" si="18"/>
        <v>00</v>
      </c>
      <c r="F150" s="12" t="str">
        <f t="shared" si="19"/>
        <v>000000000</v>
      </c>
      <c r="G150" s="38">
        <v>201708</v>
      </c>
      <c r="H150" s="11"/>
      <c r="I150" s="40" t="s">
        <v>202</v>
      </c>
      <c r="J150" s="11"/>
      <c r="K150" s="41">
        <f t="shared" si="23"/>
        <v>0</v>
      </c>
      <c r="L150" s="42">
        <f t="shared" si="20"/>
        <v>0</v>
      </c>
      <c r="M150" s="32" t="s">
        <v>203</v>
      </c>
      <c r="N150" s="17" t="str">
        <f t="shared" si="21"/>
        <v>0000</v>
      </c>
      <c r="O150" s="43" t="str">
        <f t="shared" si="25"/>
        <v>000000000</v>
      </c>
      <c r="P150" s="41" t="str">
        <f t="shared" si="22"/>
        <v>000000000</v>
      </c>
      <c r="Q150" s="44" t="s">
        <v>204</v>
      </c>
    </row>
    <row r="151" spans="1:17" x14ac:dyDescent="0.25">
      <c r="A151" s="36" t="str">
        <f t="shared" si="24"/>
        <v>10000000000201708110000000000000000028</v>
      </c>
      <c r="B151" s="37">
        <v>10</v>
      </c>
      <c r="C151" s="32" t="s">
        <v>200</v>
      </c>
      <c r="D151" s="12"/>
      <c r="E151" s="12" t="str">
        <f t="shared" si="18"/>
        <v>00</v>
      </c>
      <c r="F151" s="12" t="str">
        <f t="shared" si="19"/>
        <v>000000000</v>
      </c>
      <c r="G151" s="38">
        <v>201708</v>
      </c>
      <c r="H151" s="11"/>
      <c r="I151" s="40" t="s">
        <v>202</v>
      </c>
      <c r="J151" s="11"/>
      <c r="K151" s="41">
        <f t="shared" si="23"/>
        <v>0</v>
      </c>
      <c r="L151" s="42">
        <f t="shared" si="20"/>
        <v>0</v>
      </c>
      <c r="M151" s="32" t="s">
        <v>203</v>
      </c>
      <c r="N151" s="17" t="str">
        <f t="shared" si="21"/>
        <v>0000</v>
      </c>
      <c r="O151" s="43" t="str">
        <f t="shared" si="25"/>
        <v>000000000</v>
      </c>
      <c r="P151" s="41" t="str">
        <f t="shared" si="22"/>
        <v>000000000</v>
      </c>
      <c r="Q151" s="44" t="s">
        <v>204</v>
      </c>
    </row>
    <row r="152" spans="1:17" x14ac:dyDescent="0.25">
      <c r="A152" s="36" t="str">
        <f t="shared" si="24"/>
        <v>10000000000201708110000000000000000028</v>
      </c>
      <c r="B152" s="37">
        <v>10</v>
      </c>
      <c r="C152" s="32" t="s">
        <v>200</v>
      </c>
      <c r="D152" s="12"/>
      <c r="E152" s="12" t="str">
        <f t="shared" si="18"/>
        <v>00</v>
      </c>
      <c r="F152" s="12" t="str">
        <f t="shared" si="19"/>
        <v>000000000</v>
      </c>
      <c r="G152" s="38">
        <v>201708</v>
      </c>
      <c r="H152" s="11"/>
      <c r="I152" s="40" t="s">
        <v>202</v>
      </c>
      <c r="J152" s="11"/>
      <c r="K152" s="41">
        <f t="shared" si="23"/>
        <v>0</v>
      </c>
      <c r="L152" s="42">
        <f t="shared" si="20"/>
        <v>0</v>
      </c>
      <c r="M152" s="32" t="s">
        <v>203</v>
      </c>
      <c r="N152" s="17" t="str">
        <f t="shared" si="21"/>
        <v>0000</v>
      </c>
      <c r="O152" s="43" t="str">
        <f t="shared" si="25"/>
        <v>000000000</v>
      </c>
      <c r="P152" s="41" t="str">
        <f t="shared" si="22"/>
        <v>000000000</v>
      </c>
      <c r="Q152" s="44" t="s">
        <v>204</v>
      </c>
    </row>
    <row r="153" spans="1:17" x14ac:dyDescent="0.25">
      <c r="A153" s="36" t="str">
        <f t="shared" si="24"/>
        <v>10000000000201708110000000000000000028</v>
      </c>
      <c r="B153" s="37">
        <v>10</v>
      </c>
      <c r="C153" s="32" t="s">
        <v>200</v>
      </c>
      <c r="D153" s="12"/>
      <c r="E153" s="12" t="str">
        <f t="shared" si="18"/>
        <v>00</v>
      </c>
      <c r="F153" s="12" t="str">
        <f t="shared" si="19"/>
        <v>000000000</v>
      </c>
      <c r="G153" s="38">
        <v>201708</v>
      </c>
      <c r="H153" s="11"/>
      <c r="I153" s="40" t="s">
        <v>202</v>
      </c>
      <c r="J153" s="11"/>
      <c r="K153" s="41">
        <f t="shared" si="23"/>
        <v>0</v>
      </c>
      <c r="L153" s="42">
        <f t="shared" si="20"/>
        <v>0</v>
      </c>
      <c r="M153" s="32" t="s">
        <v>203</v>
      </c>
      <c r="N153" s="17" t="str">
        <f t="shared" si="21"/>
        <v>0000</v>
      </c>
      <c r="O153" s="43" t="str">
        <f t="shared" si="25"/>
        <v>000000000</v>
      </c>
      <c r="P153" s="41" t="str">
        <f t="shared" si="22"/>
        <v>000000000</v>
      </c>
      <c r="Q153" s="44" t="s">
        <v>204</v>
      </c>
    </row>
    <row r="154" spans="1:17" x14ac:dyDescent="0.25">
      <c r="A154" s="36" t="str">
        <f t="shared" si="24"/>
        <v>10000000000201708110000000000000000028</v>
      </c>
      <c r="B154" s="37">
        <v>10</v>
      </c>
      <c r="C154" s="32" t="s">
        <v>200</v>
      </c>
      <c r="D154" s="12"/>
      <c r="E154" s="12" t="str">
        <f t="shared" si="18"/>
        <v>00</v>
      </c>
      <c r="F154" s="12" t="str">
        <f t="shared" si="19"/>
        <v>000000000</v>
      </c>
      <c r="G154" s="38">
        <v>201708</v>
      </c>
      <c r="H154" s="11"/>
      <c r="I154" s="40" t="s">
        <v>202</v>
      </c>
      <c r="J154" s="11"/>
      <c r="K154" s="41">
        <f t="shared" si="23"/>
        <v>0</v>
      </c>
      <c r="L154" s="42">
        <f t="shared" si="20"/>
        <v>0</v>
      </c>
      <c r="M154" s="32" t="s">
        <v>203</v>
      </c>
      <c r="N154" s="17" t="str">
        <f t="shared" si="21"/>
        <v>0000</v>
      </c>
      <c r="O154" s="43" t="str">
        <f t="shared" si="25"/>
        <v>000000000</v>
      </c>
      <c r="P154" s="41" t="str">
        <f t="shared" si="22"/>
        <v>000000000</v>
      </c>
      <c r="Q154" s="44" t="s">
        <v>204</v>
      </c>
    </row>
    <row r="155" spans="1:17" x14ac:dyDescent="0.25">
      <c r="A155" s="36" t="str">
        <f t="shared" si="24"/>
        <v>10000000000201708110000000000000000028</v>
      </c>
      <c r="B155" s="37">
        <v>10</v>
      </c>
      <c r="C155" s="32" t="s">
        <v>200</v>
      </c>
      <c r="D155" s="12"/>
      <c r="E155" s="12" t="str">
        <f t="shared" si="18"/>
        <v>00</v>
      </c>
      <c r="F155" s="12" t="str">
        <f t="shared" si="19"/>
        <v>000000000</v>
      </c>
      <c r="G155" s="38">
        <v>201708</v>
      </c>
      <c r="H155" s="11"/>
      <c r="I155" s="40" t="s">
        <v>202</v>
      </c>
      <c r="J155" s="11"/>
      <c r="K155" s="41">
        <f t="shared" si="23"/>
        <v>0</v>
      </c>
      <c r="L155" s="42">
        <f t="shared" si="20"/>
        <v>0</v>
      </c>
      <c r="M155" s="32" t="s">
        <v>203</v>
      </c>
      <c r="N155" s="17" t="str">
        <f t="shared" si="21"/>
        <v>0000</v>
      </c>
      <c r="O155" s="43" t="str">
        <f t="shared" si="25"/>
        <v>000000000</v>
      </c>
      <c r="P155" s="41" t="str">
        <f t="shared" si="22"/>
        <v>000000000</v>
      </c>
      <c r="Q155" s="44" t="s">
        <v>204</v>
      </c>
    </row>
    <row r="156" spans="1:17" x14ac:dyDescent="0.25">
      <c r="A156" s="36" t="str">
        <f t="shared" si="24"/>
        <v>10000000000201708110000000000000000028</v>
      </c>
      <c r="B156" s="37">
        <v>10</v>
      </c>
      <c r="C156" s="32" t="s">
        <v>200</v>
      </c>
      <c r="D156" s="12"/>
      <c r="E156" s="12" t="str">
        <f t="shared" si="18"/>
        <v>00</v>
      </c>
      <c r="F156" s="12" t="str">
        <f t="shared" si="19"/>
        <v>000000000</v>
      </c>
      <c r="G156" s="38">
        <v>201708</v>
      </c>
      <c r="H156" s="39"/>
      <c r="I156" s="40" t="s">
        <v>202</v>
      </c>
      <c r="J156" s="45"/>
      <c r="K156" s="41">
        <f t="shared" si="23"/>
        <v>0</v>
      </c>
      <c r="L156" s="42">
        <f t="shared" si="20"/>
        <v>0</v>
      </c>
      <c r="M156" s="32" t="s">
        <v>203</v>
      </c>
      <c r="N156" s="17" t="str">
        <f t="shared" si="21"/>
        <v>0000</v>
      </c>
      <c r="O156" s="43" t="str">
        <f t="shared" si="25"/>
        <v>000000000</v>
      </c>
      <c r="P156" s="41" t="str">
        <f t="shared" si="22"/>
        <v>000000000</v>
      </c>
      <c r="Q156" s="44" t="s">
        <v>204</v>
      </c>
    </row>
    <row r="157" spans="1:17" x14ac:dyDescent="0.25">
      <c r="A157" s="36" t="str">
        <f t="shared" si="24"/>
        <v>10000000000201708110000000000000000028</v>
      </c>
      <c r="B157" s="37">
        <v>10</v>
      </c>
      <c r="C157" s="32" t="s">
        <v>200</v>
      </c>
      <c r="D157" s="12"/>
      <c r="E157" s="12" t="str">
        <f t="shared" si="18"/>
        <v>00</v>
      </c>
      <c r="F157" s="12" t="str">
        <f t="shared" si="19"/>
        <v>000000000</v>
      </c>
      <c r="G157" s="38">
        <v>201708</v>
      </c>
      <c r="H157" s="39"/>
      <c r="I157" s="40" t="s">
        <v>202</v>
      </c>
      <c r="J157" s="45"/>
      <c r="K157" s="41">
        <f t="shared" si="23"/>
        <v>0</v>
      </c>
      <c r="L157" s="42">
        <f t="shared" si="20"/>
        <v>0</v>
      </c>
      <c r="M157" s="32" t="s">
        <v>203</v>
      </c>
      <c r="N157" s="17" t="str">
        <f t="shared" si="21"/>
        <v>0000</v>
      </c>
      <c r="O157" s="43" t="str">
        <f t="shared" si="25"/>
        <v>000000000</v>
      </c>
      <c r="P157" s="41" t="str">
        <f t="shared" si="22"/>
        <v>000000000</v>
      </c>
      <c r="Q157" s="44" t="s">
        <v>204</v>
      </c>
    </row>
    <row r="158" spans="1:17" x14ac:dyDescent="0.25">
      <c r="A158" s="36" t="str">
        <f t="shared" si="24"/>
        <v>10000000000201708110000000000000000028</v>
      </c>
      <c r="B158" s="37">
        <v>10</v>
      </c>
      <c r="C158" s="32" t="s">
        <v>200</v>
      </c>
      <c r="D158" s="12"/>
      <c r="E158" s="12" t="str">
        <f t="shared" si="18"/>
        <v>00</v>
      </c>
      <c r="F158" s="12" t="str">
        <f t="shared" si="19"/>
        <v>000000000</v>
      </c>
      <c r="G158" s="38">
        <v>201708</v>
      </c>
      <c r="H158" s="39"/>
      <c r="I158" s="40" t="s">
        <v>202</v>
      </c>
      <c r="J158" s="45"/>
      <c r="K158" s="41">
        <f t="shared" si="23"/>
        <v>0</v>
      </c>
      <c r="L158" s="42">
        <f t="shared" si="20"/>
        <v>0</v>
      </c>
      <c r="M158" s="32" t="s">
        <v>203</v>
      </c>
      <c r="N158" s="17" t="str">
        <f t="shared" si="21"/>
        <v>0000</v>
      </c>
      <c r="O158" s="43" t="str">
        <f t="shared" si="25"/>
        <v>000000000</v>
      </c>
      <c r="P158" s="41" t="str">
        <f t="shared" si="22"/>
        <v>000000000</v>
      </c>
      <c r="Q158" s="44" t="s">
        <v>204</v>
      </c>
    </row>
    <row r="159" spans="1:17" x14ac:dyDescent="0.25">
      <c r="A159" s="36" t="str">
        <f t="shared" si="24"/>
        <v>10000000000201708110000000000000000028</v>
      </c>
      <c r="B159" s="37">
        <v>10</v>
      </c>
      <c r="C159" s="32" t="s">
        <v>200</v>
      </c>
      <c r="D159" s="12"/>
      <c r="E159" s="12" t="str">
        <f t="shared" si="18"/>
        <v>00</v>
      </c>
      <c r="F159" s="12" t="str">
        <f t="shared" si="19"/>
        <v>000000000</v>
      </c>
      <c r="G159" s="38">
        <v>201708</v>
      </c>
      <c r="H159" s="39"/>
      <c r="I159" s="40" t="s">
        <v>202</v>
      </c>
      <c r="J159" s="45"/>
      <c r="K159" s="41">
        <f t="shared" si="23"/>
        <v>0</v>
      </c>
      <c r="L159" s="42">
        <f t="shared" si="20"/>
        <v>0</v>
      </c>
      <c r="M159" s="32" t="s">
        <v>203</v>
      </c>
      <c r="N159" s="17" t="str">
        <f t="shared" si="21"/>
        <v>0000</v>
      </c>
      <c r="O159" s="43" t="str">
        <f t="shared" si="25"/>
        <v>000000000</v>
      </c>
      <c r="P159" s="41" t="str">
        <f t="shared" si="22"/>
        <v>000000000</v>
      </c>
      <c r="Q159" s="44" t="s">
        <v>204</v>
      </c>
    </row>
    <row r="160" spans="1:17" x14ac:dyDescent="0.25">
      <c r="A160" s="36" t="str">
        <f t="shared" si="24"/>
        <v>10000000000201708110000000000000000028</v>
      </c>
      <c r="B160" s="37">
        <v>10</v>
      </c>
      <c r="C160" s="32" t="s">
        <v>200</v>
      </c>
      <c r="D160" s="12"/>
      <c r="E160" s="12" t="str">
        <f t="shared" si="18"/>
        <v>00</v>
      </c>
      <c r="F160" s="12" t="str">
        <f t="shared" si="19"/>
        <v>000000000</v>
      </c>
      <c r="G160" s="38">
        <v>201708</v>
      </c>
      <c r="H160" s="39"/>
      <c r="I160" s="40" t="s">
        <v>202</v>
      </c>
      <c r="J160" s="45"/>
      <c r="K160" s="41">
        <f t="shared" si="23"/>
        <v>0</v>
      </c>
      <c r="L160" s="42">
        <f t="shared" si="20"/>
        <v>0</v>
      </c>
      <c r="M160" s="32" t="s">
        <v>203</v>
      </c>
      <c r="N160" s="17" t="str">
        <f t="shared" si="21"/>
        <v>0000</v>
      </c>
      <c r="O160" s="43" t="str">
        <f t="shared" si="25"/>
        <v>000000000</v>
      </c>
      <c r="P160" s="41" t="str">
        <f t="shared" si="22"/>
        <v>000000000</v>
      </c>
      <c r="Q160" s="44" t="s">
        <v>204</v>
      </c>
    </row>
    <row r="161" spans="1:17" x14ac:dyDescent="0.25">
      <c r="A161" s="36" t="str">
        <f t="shared" si="24"/>
        <v>10000000000201708110000000000000000028</v>
      </c>
      <c r="B161" s="37">
        <v>10</v>
      </c>
      <c r="C161" s="32" t="s">
        <v>200</v>
      </c>
      <c r="D161" s="12"/>
      <c r="E161" s="12" t="str">
        <f t="shared" si="18"/>
        <v>00</v>
      </c>
      <c r="F161" s="12" t="str">
        <f t="shared" si="19"/>
        <v>000000000</v>
      </c>
      <c r="G161" s="38">
        <v>201708</v>
      </c>
      <c r="H161" s="39"/>
      <c r="I161" s="40" t="s">
        <v>202</v>
      </c>
      <c r="J161" s="45"/>
      <c r="K161" s="41">
        <f t="shared" si="23"/>
        <v>0</v>
      </c>
      <c r="L161" s="42">
        <f t="shared" si="20"/>
        <v>0</v>
      </c>
      <c r="M161" s="32" t="s">
        <v>203</v>
      </c>
      <c r="N161" s="17" t="str">
        <f t="shared" si="21"/>
        <v>0000</v>
      </c>
      <c r="O161" s="43" t="str">
        <f t="shared" si="25"/>
        <v>000000000</v>
      </c>
      <c r="P161" s="41" t="str">
        <f t="shared" si="22"/>
        <v>000000000</v>
      </c>
      <c r="Q161" s="44" t="s">
        <v>204</v>
      </c>
    </row>
    <row r="162" spans="1:17" x14ac:dyDescent="0.25">
      <c r="A162" s="36" t="str">
        <f t="shared" si="24"/>
        <v>10000000000201708110000000000000000028</v>
      </c>
      <c r="B162" s="37">
        <v>10</v>
      </c>
      <c r="C162" s="32" t="s">
        <v>200</v>
      </c>
      <c r="D162" s="12"/>
      <c r="E162" s="12" t="str">
        <f t="shared" si="18"/>
        <v>00</v>
      </c>
      <c r="F162" s="12" t="str">
        <f t="shared" si="19"/>
        <v>000000000</v>
      </c>
      <c r="G162" s="38">
        <v>201708</v>
      </c>
      <c r="H162" s="39"/>
      <c r="I162" s="40" t="s">
        <v>202</v>
      </c>
      <c r="J162" s="45"/>
      <c r="K162" s="41">
        <f t="shared" si="23"/>
        <v>0</v>
      </c>
      <c r="L162" s="42">
        <f t="shared" si="20"/>
        <v>0</v>
      </c>
      <c r="M162" s="32" t="s">
        <v>203</v>
      </c>
      <c r="N162" s="17" t="str">
        <f t="shared" si="21"/>
        <v>0000</v>
      </c>
      <c r="O162" s="43" t="str">
        <f t="shared" si="25"/>
        <v>000000000</v>
      </c>
      <c r="P162" s="41" t="str">
        <f t="shared" si="22"/>
        <v>000000000</v>
      </c>
      <c r="Q162" s="44" t="s">
        <v>204</v>
      </c>
    </row>
    <row r="163" spans="1:17" x14ac:dyDescent="0.25">
      <c r="A163" s="36" t="str">
        <f t="shared" si="24"/>
        <v>10000000000201708110000000000000000028</v>
      </c>
      <c r="B163" s="37">
        <v>10</v>
      </c>
      <c r="C163" s="32" t="s">
        <v>200</v>
      </c>
      <c r="D163" s="12"/>
      <c r="E163" s="12" t="str">
        <f t="shared" si="18"/>
        <v>00</v>
      </c>
      <c r="F163" s="12" t="str">
        <f t="shared" si="19"/>
        <v>000000000</v>
      </c>
      <c r="G163" s="38">
        <v>201708</v>
      </c>
      <c r="H163" s="39"/>
      <c r="I163" s="40" t="s">
        <v>202</v>
      </c>
      <c r="J163" s="45"/>
      <c r="K163" s="41">
        <f t="shared" si="23"/>
        <v>0</v>
      </c>
      <c r="L163" s="42">
        <f t="shared" si="20"/>
        <v>0</v>
      </c>
      <c r="M163" s="32" t="s">
        <v>203</v>
      </c>
      <c r="N163" s="17" t="str">
        <f t="shared" si="21"/>
        <v>0000</v>
      </c>
      <c r="O163" s="43" t="str">
        <f t="shared" si="25"/>
        <v>000000000</v>
      </c>
      <c r="P163" s="41" t="str">
        <f t="shared" si="22"/>
        <v>000000000</v>
      </c>
      <c r="Q163" s="44" t="s">
        <v>204</v>
      </c>
    </row>
    <row r="164" spans="1:17" x14ac:dyDescent="0.25">
      <c r="A164" s="36" t="str">
        <f t="shared" si="24"/>
        <v>10000000000201708110000000000000000028</v>
      </c>
      <c r="B164" s="37">
        <v>10</v>
      </c>
      <c r="C164" s="32" t="s">
        <v>200</v>
      </c>
      <c r="D164" s="12"/>
      <c r="E164" s="12" t="str">
        <f t="shared" si="18"/>
        <v>00</v>
      </c>
      <c r="F164" s="12" t="str">
        <f t="shared" si="19"/>
        <v>000000000</v>
      </c>
      <c r="G164" s="38">
        <v>201708</v>
      </c>
      <c r="H164" s="39"/>
      <c r="I164" s="40" t="s">
        <v>202</v>
      </c>
      <c r="J164" s="45"/>
      <c r="K164" s="41">
        <f t="shared" si="23"/>
        <v>0</v>
      </c>
      <c r="L164" s="42">
        <f t="shared" si="20"/>
        <v>0</v>
      </c>
      <c r="M164" s="32" t="s">
        <v>203</v>
      </c>
      <c r="N164" s="17" t="str">
        <f t="shared" si="21"/>
        <v>0000</v>
      </c>
      <c r="O164" s="43" t="str">
        <f t="shared" si="25"/>
        <v>000000000</v>
      </c>
      <c r="P164" s="41" t="str">
        <f t="shared" si="22"/>
        <v>000000000</v>
      </c>
      <c r="Q164" s="44" t="s">
        <v>204</v>
      </c>
    </row>
    <row r="165" spans="1:17" x14ac:dyDescent="0.25">
      <c r="A165" s="36" t="str">
        <f t="shared" si="24"/>
        <v>10000000000201708110000000000000000028</v>
      </c>
      <c r="B165" s="37">
        <v>10</v>
      </c>
      <c r="C165" s="32" t="s">
        <v>200</v>
      </c>
      <c r="D165" s="12"/>
      <c r="E165" s="12" t="str">
        <f t="shared" si="18"/>
        <v>00</v>
      </c>
      <c r="F165" s="12" t="str">
        <f t="shared" si="19"/>
        <v>000000000</v>
      </c>
      <c r="G165" s="38">
        <v>201708</v>
      </c>
      <c r="H165" s="39"/>
      <c r="I165" s="40" t="s">
        <v>202</v>
      </c>
      <c r="J165" s="45"/>
      <c r="K165" s="41">
        <f t="shared" si="23"/>
        <v>0</v>
      </c>
      <c r="L165" s="42">
        <f t="shared" si="20"/>
        <v>0</v>
      </c>
      <c r="M165" s="32" t="s">
        <v>203</v>
      </c>
      <c r="N165" s="17" t="str">
        <f t="shared" si="21"/>
        <v>0000</v>
      </c>
      <c r="O165" s="43" t="str">
        <f t="shared" si="25"/>
        <v>000000000</v>
      </c>
      <c r="P165" s="41" t="str">
        <f t="shared" si="22"/>
        <v>000000000</v>
      </c>
      <c r="Q165" s="44" t="s">
        <v>204</v>
      </c>
    </row>
    <row r="166" spans="1:17" x14ac:dyDescent="0.25">
      <c r="A166" s="36" t="str">
        <f t="shared" si="24"/>
        <v>10000000000201708110000000000000000028</v>
      </c>
      <c r="B166" s="37">
        <v>10</v>
      </c>
      <c r="C166" s="32" t="s">
        <v>200</v>
      </c>
      <c r="D166" s="12"/>
      <c r="E166" s="12" t="str">
        <f t="shared" si="18"/>
        <v>00</v>
      </c>
      <c r="F166" s="12" t="str">
        <f t="shared" si="19"/>
        <v>000000000</v>
      </c>
      <c r="G166" s="38">
        <v>201708</v>
      </c>
      <c r="H166" s="39"/>
      <c r="I166" s="40" t="s">
        <v>202</v>
      </c>
      <c r="J166" s="45"/>
      <c r="K166" s="41">
        <f t="shared" si="23"/>
        <v>0</v>
      </c>
      <c r="L166" s="42">
        <f t="shared" si="20"/>
        <v>0</v>
      </c>
      <c r="M166" s="32" t="s">
        <v>203</v>
      </c>
      <c r="N166" s="17" t="str">
        <f t="shared" si="21"/>
        <v>0000</v>
      </c>
      <c r="O166" s="43" t="str">
        <f t="shared" si="25"/>
        <v>000000000</v>
      </c>
      <c r="P166" s="41" t="str">
        <f t="shared" si="22"/>
        <v>000000000</v>
      </c>
      <c r="Q166" s="44" t="s">
        <v>204</v>
      </c>
    </row>
    <row r="167" spans="1:17" x14ac:dyDescent="0.25">
      <c r="A167" s="36" t="str">
        <f t="shared" si="24"/>
        <v>10000000000201708110000000000000000028</v>
      </c>
      <c r="B167" s="37">
        <v>10</v>
      </c>
      <c r="C167" s="32" t="s">
        <v>200</v>
      </c>
      <c r="D167" s="12"/>
      <c r="E167" s="12" t="str">
        <f t="shared" si="18"/>
        <v>00</v>
      </c>
      <c r="F167" s="12" t="str">
        <f t="shared" si="19"/>
        <v>000000000</v>
      </c>
      <c r="G167" s="38">
        <v>201708</v>
      </c>
      <c r="H167" s="39"/>
      <c r="I167" s="40" t="s">
        <v>202</v>
      </c>
      <c r="J167" s="45"/>
      <c r="K167" s="41">
        <f t="shared" si="23"/>
        <v>0</v>
      </c>
      <c r="L167" s="42">
        <f t="shared" si="20"/>
        <v>0</v>
      </c>
      <c r="M167" s="32" t="s">
        <v>203</v>
      </c>
      <c r="N167" s="17" t="str">
        <f t="shared" si="21"/>
        <v>0000</v>
      </c>
      <c r="O167" s="43" t="str">
        <f t="shared" si="25"/>
        <v>000000000</v>
      </c>
      <c r="P167" s="41" t="str">
        <f t="shared" si="22"/>
        <v>000000000</v>
      </c>
      <c r="Q167" s="44" t="s">
        <v>204</v>
      </c>
    </row>
    <row r="168" spans="1:17" x14ac:dyDescent="0.25">
      <c r="A168" s="36" t="str">
        <f t="shared" si="24"/>
        <v>10000000000201708110000000000000000028</v>
      </c>
      <c r="B168" s="37">
        <v>10</v>
      </c>
      <c r="C168" s="32" t="s">
        <v>200</v>
      </c>
      <c r="D168" s="12"/>
      <c r="E168" s="12" t="str">
        <f t="shared" si="18"/>
        <v>00</v>
      </c>
      <c r="F168" s="12" t="str">
        <f t="shared" si="19"/>
        <v>000000000</v>
      </c>
      <c r="G168" s="38">
        <v>201708</v>
      </c>
      <c r="H168" s="39"/>
      <c r="I168" s="40" t="s">
        <v>202</v>
      </c>
      <c r="J168" s="45"/>
      <c r="K168" s="41">
        <f t="shared" si="23"/>
        <v>0</v>
      </c>
      <c r="L168" s="42">
        <f t="shared" si="20"/>
        <v>0</v>
      </c>
      <c r="M168" s="32" t="s">
        <v>203</v>
      </c>
      <c r="N168" s="17" t="str">
        <f t="shared" si="21"/>
        <v>0000</v>
      </c>
      <c r="O168" s="43" t="str">
        <f t="shared" si="25"/>
        <v>000000000</v>
      </c>
      <c r="P168" s="41" t="str">
        <f t="shared" si="22"/>
        <v>000000000</v>
      </c>
      <c r="Q168" s="44" t="s">
        <v>204</v>
      </c>
    </row>
    <row r="169" spans="1:17" x14ac:dyDescent="0.25">
      <c r="A169" s="36" t="str">
        <f t="shared" si="24"/>
        <v>10000000000201708110000000000000000028</v>
      </c>
      <c r="B169" s="37">
        <v>10</v>
      </c>
      <c r="C169" s="32" t="s">
        <v>200</v>
      </c>
      <c r="D169" s="12"/>
      <c r="E169" s="12" t="str">
        <f t="shared" si="18"/>
        <v>00</v>
      </c>
      <c r="F169" s="12" t="str">
        <f t="shared" si="19"/>
        <v>000000000</v>
      </c>
      <c r="G169" s="38">
        <v>201708</v>
      </c>
      <c r="H169" s="39"/>
      <c r="I169" s="40" t="s">
        <v>202</v>
      </c>
      <c r="J169" s="45"/>
      <c r="K169" s="41">
        <f t="shared" si="23"/>
        <v>0</v>
      </c>
      <c r="L169" s="42">
        <f t="shared" si="20"/>
        <v>0</v>
      </c>
      <c r="M169" s="32" t="s">
        <v>203</v>
      </c>
      <c r="N169" s="17" t="str">
        <f t="shared" si="21"/>
        <v>0000</v>
      </c>
      <c r="O169" s="43" t="str">
        <f t="shared" si="25"/>
        <v>000000000</v>
      </c>
      <c r="P169" s="41" t="str">
        <f t="shared" si="22"/>
        <v>000000000</v>
      </c>
      <c r="Q169" s="44" t="s">
        <v>204</v>
      </c>
    </row>
    <row r="170" spans="1:17" x14ac:dyDescent="0.25">
      <c r="A170" s="36" t="str">
        <f t="shared" si="24"/>
        <v>10000000000201708110000000000000000028</v>
      </c>
      <c r="B170" s="37">
        <v>10</v>
      </c>
      <c r="C170" s="32" t="s">
        <v>200</v>
      </c>
      <c r="D170" s="12"/>
      <c r="E170" s="12" t="str">
        <f t="shared" si="18"/>
        <v>00</v>
      </c>
      <c r="F170" s="12" t="str">
        <f t="shared" si="19"/>
        <v>000000000</v>
      </c>
      <c r="G170" s="38">
        <v>201708</v>
      </c>
      <c r="H170" s="39"/>
      <c r="I170" s="40" t="s">
        <v>202</v>
      </c>
      <c r="J170" s="45"/>
      <c r="K170" s="41">
        <f t="shared" si="23"/>
        <v>0</v>
      </c>
      <c r="L170" s="42">
        <f t="shared" si="20"/>
        <v>0</v>
      </c>
      <c r="M170" s="32" t="s">
        <v>203</v>
      </c>
      <c r="N170" s="17" t="str">
        <f t="shared" si="21"/>
        <v>0000</v>
      </c>
      <c r="O170" s="43" t="str">
        <f t="shared" si="25"/>
        <v>000000000</v>
      </c>
      <c r="P170" s="41" t="str">
        <f t="shared" si="22"/>
        <v>000000000</v>
      </c>
      <c r="Q170" s="44" t="s">
        <v>204</v>
      </c>
    </row>
    <row r="171" spans="1:17" x14ac:dyDescent="0.25">
      <c r="A171" s="36" t="str">
        <f t="shared" si="24"/>
        <v>10000000000201708110000000000000000028</v>
      </c>
      <c r="B171" s="37">
        <v>10</v>
      </c>
      <c r="C171" s="32" t="s">
        <v>200</v>
      </c>
      <c r="D171" s="12"/>
      <c r="E171" s="12" t="str">
        <f t="shared" si="18"/>
        <v>00</v>
      </c>
      <c r="F171" s="12" t="str">
        <f t="shared" si="19"/>
        <v>000000000</v>
      </c>
      <c r="G171" s="38">
        <v>201708</v>
      </c>
      <c r="H171" s="39"/>
      <c r="I171" s="40" t="s">
        <v>202</v>
      </c>
      <c r="J171" s="45"/>
      <c r="K171" s="41">
        <f t="shared" si="23"/>
        <v>0</v>
      </c>
      <c r="L171" s="42">
        <f t="shared" si="20"/>
        <v>0</v>
      </c>
      <c r="M171" s="32" t="s">
        <v>203</v>
      </c>
      <c r="N171" s="17" t="str">
        <f t="shared" si="21"/>
        <v>0000</v>
      </c>
      <c r="O171" s="43" t="str">
        <f t="shared" si="25"/>
        <v>000000000</v>
      </c>
      <c r="P171" s="41" t="str">
        <f t="shared" si="22"/>
        <v>000000000</v>
      </c>
      <c r="Q171" s="44" t="s">
        <v>204</v>
      </c>
    </row>
    <row r="172" spans="1:17" x14ac:dyDescent="0.25">
      <c r="A172" s="36" t="str">
        <f t="shared" si="24"/>
        <v>10000000000201708110000000000000000028</v>
      </c>
      <c r="B172" s="37">
        <v>10</v>
      </c>
      <c r="C172" s="32" t="s">
        <v>200</v>
      </c>
      <c r="D172" s="12"/>
      <c r="E172" s="12" t="str">
        <f t="shared" si="18"/>
        <v>00</v>
      </c>
      <c r="F172" s="12" t="str">
        <f t="shared" si="19"/>
        <v>000000000</v>
      </c>
      <c r="G172" s="38">
        <v>201708</v>
      </c>
      <c r="H172" s="39"/>
      <c r="I172" s="40" t="s">
        <v>202</v>
      </c>
      <c r="J172" s="45"/>
      <c r="K172" s="41">
        <f t="shared" si="23"/>
        <v>0</v>
      </c>
      <c r="L172" s="42">
        <f t="shared" si="20"/>
        <v>0</v>
      </c>
      <c r="M172" s="32" t="s">
        <v>203</v>
      </c>
      <c r="N172" s="17" t="str">
        <f t="shared" si="21"/>
        <v>0000</v>
      </c>
      <c r="O172" s="43" t="str">
        <f t="shared" si="25"/>
        <v>000000000</v>
      </c>
      <c r="P172" s="41" t="str">
        <f t="shared" si="22"/>
        <v>000000000</v>
      </c>
      <c r="Q172" s="44" t="s">
        <v>204</v>
      </c>
    </row>
    <row r="173" spans="1:17" x14ac:dyDescent="0.25">
      <c r="A173" s="36" t="str">
        <f t="shared" si="24"/>
        <v>10000000000201708110000000000000000028</v>
      </c>
      <c r="B173" s="37">
        <v>10</v>
      </c>
      <c r="C173" s="32" t="s">
        <v>200</v>
      </c>
      <c r="D173" s="12"/>
      <c r="E173" s="12" t="str">
        <f t="shared" si="18"/>
        <v>00</v>
      </c>
      <c r="F173" s="12" t="str">
        <f t="shared" si="19"/>
        <v>000000000</v>
      </c>
      <c r="G173" s="38">
        <v>201708</v>
      </c>
      <c r="H173" s="12"/>
      <c r="I173" s="40" t="s">
        <v>202</v>
      </c>
      <c r="J173" s="12"/>
      <c r="K173" s="41">
        <f t="shared" si="23"/>
        <v>0</v>
      </c>
      <c r="L173" s="42">
        <f t="shared" si="20"/>
        <v>0</v>
      </c>
      <c r="M173" s="32" t="s">
        <v>203</v>
      </c>
      <c r="N173" s="17" t="str">
        <f t="shared" si="21"/>
        <v>0000</v>
      </c>
      <c r="O173" s="43" t="str">
        <f t="shared" si="25"/>
        <v>000000000</v>
      </c>
      <c r="P173" s="41" t="str">
        <f t="shared" si="22"/>
        <v>000000000</v>
      </c>
      <c r="Q173" s="44" t="s">
        <v>204</v>
      </c>
    </row>
    <row r="174" spans="1:17" x14ac:dyDescent="0.25">
      <c r="A174" s="36" t="str">
        <f t="shared" si="24"/>
        <v>10000000000201708110000000000000000028</v>
      </c>
      <c r="B174" s="37">
        <v>10</v>
      </c>
      <c r="C174" s="32" t="s">
        <v>200</v>
      </c>
      <c r="D174" s="12"/>
      <c r="E174" s="12" t="str">
        <f t="shared" si="18"/>
        <v>00</v>
      </c>
      <c r="F174" s="12" t="str">
        <f t="shared" si="19"/>
        <v>000000000</v>
      </c>
      <c r="G174" s="38">
        <v>201708</v>
      </c>
      <c r="H174" s="12"/>
      <c r="I174" s="40" t="s">
        <v>202</v>
      </c>
      <c r="J174" s="12"/>
      <c r="K174" s="41">
        <f t="shared" si="23"/>
        <v>0</v>
      </c>
      <c r="L174" s="42">
        <f t="shared" si="20"/>
        <v>0</v>
      </c>
      <c r="M174" s="32" t="s">
        <v>203</v>
      </c>
      <c r="N174" s="17" t="str">
        <f t="shared" si="21"/>
        <v>0000</v>
      </c>
      <c r="O174" s="43" t="str">
        <f t="shared" si="25"/>
        <v>000000000</v>
      </c>
      <c r="P174" s="41" t="str">
        <f t="shared" si="22"/>
        <v>000000000</v>
      </c>
      <c r="Q174" s="44" t="s">
        <v>204</v>
      </c>
    </row>
    <row r="175" spans="1:17" x14ac:dyDescent="0.25">
      <c r="A175" s="36" t="str">
        <f t="shared" si="24"/>
        <v>10000000000201708110000000000000000028</v>
      </c>
      <c r="B175" s="37">
        <v>10</v>
      </c>
      <c r="C175" s="32" t="s">
        <v>200</v>
      </c>
      <c r="D175" s="12"/>
      <c r="E175" s="12" t="str">
        <f t="shared" si="18"/>
        <v>00</v>
      </c>
      <c r="F175" s="12" t="str">
        <f t="shared" si="19"/>
        <v>000000000</v>
      </c>
      <c r="G175" s="38">
        <v>201708</v>
      </c>
      <c r="H175" s="12"/>
      <c r="I175" s="40" t="s">
        <v>202</v>
      </c>
      <c r="J175" s="12"/>
      <c r="K175" s="41">
        <f t="shared" si="23"/>
        <v>0</v>
      </c>
      <c r="L175" s="42">
        <f t="shared" si="20"/>
        <v>0</v>
      </c>
      <c r="M175" s="32" t="s">
        <v>203</v>
      </c>
      <c r="N175" s="17" t="str">
        <f t="shared" si="21"/>
        <v>0000</v>
      </c>
      <c r="O175" s="43" t="str">
        <f t="shared" si="25"/>
        <v>000000000</v>
      </c>
      <c r="P175" s="41" t="str">
        <f t="shared" si="22"/>
        <v>000000000</v>
      </c>
      <c r="Q175" s="44" t="s">
        <v>204</v>
      </c>
    </row>
    <row r="176" spans="1:17" x14ac:dyDescent="0.25">
      <c r="A176" s="36" t="str">
        <f t="shared" si="24"/>
        <v>10000000000201708110000000000000000028</v>
      </c>
      <c r="B176" s="37">
        <v>10</v>
      </c>
      <c r="C176" s="32" t="s">
        <v>200</v>
      </c>
      <c r="D176" s="12"/>
      <c r="E176" s="12" t="str">
        <f t="shared" si="18"/>
        <v>00</v>
      </c>
      <c r="F176" s="12" t="str">
        <f t="shared" si="19"/>
        <v>000000000</v>
      </c>
      <c r="G176" s="38">
        <v>201708</v>
      </c>
      <c r="H176" s="12"/>
      <c r="I176" s="40" t="s">
        <v>202</v>
      </c>
      <c r="J176" s="12"/>
      <c r="K176" s="41">
        <f t="shared" si="23"/>
        <v>0</v>
      </c>
      <c r="L176" s="42">
        <f t="shared" si="20"/>
        <v>0</v>
      </c>
      <c r="M176" s="32" t="s">
        <v>203</v>
      </c>
      <c r="N176" s="17" t="str">
        <f t="shared" si="21"/>
        <v>0000</v>
      </c>
      <c r="O176" s="43" t="str">
        <f t="shared" si="25"/>
        <v>000000000</v>
      </c>
      <c r="P176" s="41" t="str">
        <f t="shared" si="22"/>
        <v>000000000</v>
      </c>
      <c r="Q176" s="44" t="s">
        <v>204</v>
      </c>
    </row>
    <row r="177" spans="1:17" x14ac:dyDescent="0.25">
      <c r="A177" s="36" t="str">
        <f t="shared" si="24"/>
        <v>10000000000201708110000000000000000028</v>
      </c>
      <c r="B177" s="37">
        <v>10</v>
      </c>
      <c r="C177" s="32" t="s">
        <v>200</v>
      </c>
      <c r="D177" s="12"/>
      <c r="E177" s="12" t="str">
        <f t="shared" si="18"/>
        <v>00</v>
      </c>
      <c r="F177" s="12" t="str">
        <f t="shared" si="19"/>
        <v>000000000</v>
      </c>
      <c r="G177" s="38">
        <v>201708</v>
      </c>
      <c r="H177" s="12"/>
      <c r="I177" s="40" t="s">
        <v>202</v>
      </c>
      <c r="J177" s="12"/>
      <c r="K177" s="41">
        <f t="shared" si="23"/>
        <v>0</v>
      </c>
      <c r="L177" s="42">
        <f t="shared" si="20"/>
        <v>0</v>
      </c>
      <c r="M177" s="32" t="s">
        <v>203</v>
      </c>
      <c r="N177" s="17" t="str">
        <f t="shared" si="21"/>
        <v>0000</v>
      </c>
      <c r="O177" s="43" t="str">
        <f t="shared" si="25"/>
        <v>000000000</v>
      </c>
      <c r="P177" s="41" t="str">
        <f t="shared" si="22"/>
        <v>000000000</v>
      </c>
      <c r="Q177" s="44" t="s">
        <v>204</v>
      </c>
    </row>
    <row r="178" spans="1:17" x14ac:dyDescent="0.25">
      <c r="A178" s="36" t="str">
        <f t="shared" si="24"/>
        <v>10000000000201708110000000000000000028</v>
      </c>
      <c r="B178" s="37">
        <v>10</v>
      </c>
      <c r="C178" s="32" t="s">
        <v>200</v>
      </c>
      <c r="D178" s="12"/>
      <c r="E178" s="12" t="str">
        <f t="shared" si="18"/>
        <v>00</v>
      </c>
      <c r="F178" s="12" t="str">
        <f t="shared" si="19"/>
        <v>000000000</v>
      </c>
      <c r="G178" s="38">
        <v>201708</v>
      </c>
      <c r="H178" s="12"/>
      <c r="I178" s="40" t="s">
        <v>202</v>
      </c>
      <c r="J178" s="12"/>
      <c r="K178" s="41">
        <f t="shared" si="23"/>
        <v>0</v>
      </c>
      <c r="L178" s="42">
        <f t="shared" si="20"/>
        <v>0</v>
      </c>
      <c r="M178" s="32" t="s">
        <v>203</v>
      </c>
      <c r="N178" s="17" t="str">
        <f t="shared" si="21"/>
        <v>0000</v>
      </c>
      <c r="O178" s="43" t="str">
        <f t="shared" si="25"/>
        <v>000000000</v>
      </c>
      <c r="P178" s="41" t="str">
        <f t="shared" si="22"/>
        <v>000000000</v>
      </c>
      <c r="Q178" s="44" t="s">
        <v>204</v>
      </c>
    </row>
    <row r="179" spans="1:17" x14ac:dyDescent="0.25">
      <c r="A179" s="36" t="str">
        <f t="shared" si="24"/>
        <v>10000000000201708110000000000000000028</v>
      </c>
      <c r="B179" s="37">
        <v>10</v>
      </c>
      <c r="C179" s="32" t="s">
        <v>200</v>
      </c>
      <c r="D179" s="12"/>
      <c r="E179" s="12" t="str">
        <f t="shared" si="18"/>
        <v>00</v>
      </c>
      <c r="F179" s="12" t="str">
        <f t="shared" si="19"/>
        <v>000000000</v>
      </c>
      <c r="G179" s="38">
        <v>201708</v>
      </c>
      <c r="H179" s="12"/>
      <c r="I179" s="40" t="s">
        <v>202</v>
      </c>
      <c r="J179" s="12"/>
      <c r="K179" s="41">
        <f t="shared" si="23"/>
        <v>0</v>
      </c>
      <c r="L179" s="42">
        <f t="shared" si="20"/>
        <v>0</v>
      </c>
      <c r="M179" s="32" t="s">
        <v>203</v>
      </c>
      <c r="N179" s="17" t="str">
        <f t="shared" si="21"/>
        <v>0000</v>
      </c>
      <c r="O179" s="43" t="str">
        <f t="shared" si="25"/>
        <v>000000000</v>
      </c>
      <c r="P179" s="41" t="str">
        <f t="shared" si="22"/>
        <v>000000000</v>
      </c>
      <c r="Q179" s="44" t="s">
        <v>204</v>
      </c>
    </row>
    <row r="180" spans="1:17" x14ac:dyDescent="0.25">
      <c r="A180" s="36" t="str">
        <f t="shared" si="24"/>
        <v>10000000000201708110000000000000000028</v>
      </c>
      <c r="B180" s="37">
        <v>10</v>
      </c>
      <c r="C180" s="32" t="s">
        <v>200</v>
      </c>
      <c r="D180" s="12"/>
      <c r="E180" s="12" t="str">
        <f t="shared" si="18"/>
        <v>00</v>
      </c>
      <c r="F180" s="12" t="str">
        <f t="shared" si="19"/>
        <v>000000000</v>
      </c>
      <c r="G180" s="38">
        <v>201708</v>
      </c>
      <c r="H180" s="12"/>
      <c r="I180" s="40" t="s">
        <v>202</v>
      </c>
      <c r="J180" s="12"/>
      <c r="K180" s="41">
        <f t="shared" si="23"/>
        <v>0</v>
      </c>
      <c r="L180" s="42">
        <f t="shared" si="20"/>
        <v>0</v>
      </c>
      <c r="M180" s="32" t="s">
        <v>203</v>
      </c>
      <c r="N180" s="17" t="str">
        <f t="shared" si="21"/>
        <v>0000</v>
      </c>
      <c r="O180" s="43" t="str">
        <f t="shared" si="25"/>
        <v>000000000</v>
      </c>
      <c r="P180" s="41" t="str">
        <f t="shared" si="22"/>
        <v>000000000</v>
      </c>
      <c r="Q180" s="44" t="s">
        <v>204</v>
      </c>
    </row>
    <row r="181" spans="1:17" x14ac:dyDescent="0.25">
      <c r="A181" s="36" t="str">
        <f t="shared" si="24"/>
        <v>10000000000201708110000000000000000028</v>
      </c>
      <c r="B181" s="37">
        <v>10</v>
      </c>
      <c r="C181" s="32" t="s">
        <v>200</v>
      </c>
      <c r="D181" s="46"/>
      <c r="E181" s="12" t="str">
        <f t="shared" si="18"/>
        <v>00</v>
      </c>
      <c r="F181" s="12" t="str">
        <f t="shared" si="19"/>
        <v>000000000</v>
      </c>
      <c r="G181" s="38">
        <v>201708</v>
      </c>
      <c r="H181" s="39"/>
      <c r="I181" s="40" t="s">
        <v>202</v>
      </c>
      <c r="J181" s="45"/>
      <c r="K181" s="41">
        <f t="shared" si="23"/>
        <v>0</v>
      </c>
      <c r="L181" s="42">
        <f t="shared" si="20"/>
        <v>0</v>
      </c>
      <c r="M181" s="32" t="s">
        <v>203</v>
      </c>
      <c r="N181" s="17" t="str">
        <f t="shared" si="21"/>
        <v>0000</v>
      </c>
      <c r="O181" s="43" t="str">
        <f t="shared" si="25"/>
        <v>000000000</v>
      </c>
      <c r="P181" s="41" t="str">
        <f t="shared" si="22"/>
        <v>000000000</v>
      </c>
      <c r="Q181" s="44" t="s">
        <v>204</v>
      </c>
    </row>
    <row r="182" spans="1:17" x14ac:dyDescent="0.25">
      <c r="A182" s="36" t="str">
        <f t="shared" si="24"/>
        <v>10000000000201708110000000000000000028</v>
      </c>
      <c r="B182" s="37">
        <v>10</v>
      </c>
      <c r="C182" s="32" t="s">
        <v>200</v>
      </c>
      <c r="D182" s="46"/>
      <c r="E182" s="12" t="str">
        <f t="shared" si="18"/>
        <v>00</v>
      </c>
      <c r="F182" s="12" t="str">
        <f t="shared" si="19"/>
        <v>000000000</v>
      </c>
      <c r="G182" s="38">
        <v>201708</v>
      </c>
      <c r="H182" s="39"/>
      <c r="I182" s="40" t="s">
        <v>202</v>
      </c>
      <c r="J182" s="45"/>
      <c r="K182" s="41">
        <f t="shared" si="23"/>
        <v>0</v>
      </c>
      <c r="L182" s="42">
        <f t="shared" si="20"/>
        <v>0</v>
      </c>
      <c r="M182" s="32" t="s">
        <v>203</v>
      </c>
      <c r="N182" s="17" t="str">
        <f t="shared" si="21"/>
        <v>0000</v>
      </c>
      <c r="O182" s="43" t="str">
        <f t="shared" si="25"/>
        <v>000000000</v>
      </c>
      <c r="P182" s="41" t="str">
        <f t="shared" si="22"/>
        <v>000000000</v>
      </c>
      <c r="Q182" s="44" t="s">
        <v>204</v>
      </c>
    </row>
    <row r="183" spans="1:17" x14ac:dyDescent="0.25">
      <c r="A183" s="36" t="str">
        <f t="shared" si="24"/>
        <v>10000000000201708110000000000000000028</v>
      </c>
      <c r="B183" s="37">
        <v>10</v>
      </c>
      <c r="C183" s="32" t="s">
        <v>200</v>
      </c>
      <c r="D183" s="46"/>
      <c r="E183" s="12" t="str">
        <f t="shared" si="18"/>
        <v>00</v>
      </c>
      <c r="F183" s="12" t="str">
        <f t="shared" si="19"/>
        <v>000000000</v>
      </c>
      <c r="G183" s="38">
        <v>201708</v>
      </c>
      <c r="H183" s="39"/>
      <c r="I183" s="40" t="s">
        <v>202</v>
      </c>
      <c r="J183" s="45"/>
      <c r="K183" s="41">
        <f t="shared" si="23"/>
        <v>0</v>
      </c>
      <c r="L183" s="42">
        <f t="shared" si="20"/>
        <v>0</v>
      </c>
      <c r="M183" s="32" t="s">
        <v>203</v>
      </c>
      <c r="N183" s="17" t="str">
        <f t="shared" si="21"/>
        <v>0000</v>
      </c>
      <c r="O183" s="43" t="str">
        <f t="shared" si="25"/>
        <v>000000000</v>
      </c>
      <c r="P183" s="41" t="str">
        <f t="shared" si="22"/>
        <v>000000000</v>
      </c>
      <c r="Q183" s="44" t="s">
        <v>204</v>
      </c>
    </row>
    <row r="184" spans="1:17" x14ac:dyDescent="0.25">
      <c r="A184" s="36" t="str">
        <f t="shared" si="24"/>
        <v>10000000000201708110000000000000000028</v>
      </c>
      <c r="B184" s="37">
        <v>10</v>
      </c>
      <c r="C184" s="32" t="s">
        <v>200</v>
      </c>
      <c r="D184" s="46"/>
      <c r="E184" s="12" t="str">
        <f t="shared" si="18"/>
        <v>00</v>
      </c>
      <c r="F184" s="12" t="str">
        <f t="shared" si="19"/>
        <v>000000000</v>
      </c>
      <c r="G184" s="38">
        <v>201708</v>
      </c>
      <c r="H184" s="39"/>
      <c r="I184" s="40" t="s">
        <v>202</v>
      </c>
      <c r="J184" s="45"/>
      <c r="K184" s="41">
        <f t="shared" si="23"/>
        <v>0</v>
      </c>
      <c r="L184" s="42">
        <f t="shared" si="20"/>
        <v>0</v>
      </c>
      <c r="M184" s="32" t="s">
        <v>203</v>
      </c>
      <c r="N184" s="17" t="str">
        <f t="shared" si="21"/>
        <v>0000</v>
      </c>
      <c r="O184" s="43" t="str">
        <f t="shared" si="25"/>
        <v>000000000</v>
      </c>
      <c r="P184" s="41" t="str">
        <f t="shared" si="22"/>
        <v>000000000</v>
      </c>
      <c r="Q184" s="44" t="s">
        <v>204</v>
      </c>
    </row>
    <row r="185" spans="1:17" x14ac:dyDescent="0.25">
      <c r="A185" s="36" t="str">
        <f t="shared" si="24"/>
        <v>10000000000201708110000000000000000028</v>
      </c>
      <c r="B185" s="37">
        <v>10</v>
      </c>
      <c r="C185" s="32" t="s">
        <v>200</v>
      </c>
      <c r="D185" s="46"/>
      <c r="E185" s="12" t="str">
        <f t="shared" si="18"/>
        <v>00</v>
      </c>
      <c r="F185" s="12" t="str">
        <f t="shared" si="19"/>
        <v>000000000</v>
      </c>
      <c r="G185" s="38">
        <v>201708</v>
      </c>
      <c r="H185" s="39"/>
      <c r="I185" s="40" t="s">
        <v>202</v>
      </c>
      <c r="J185" s="45"/>
      <c r="K185" s="41">
        <f t="shared" si="23"/>
        <v>0</v>
      </c>
      <c r="L185" s="42">
        <f t="shared" si="20"/>
        <v>0</v>
      </c>
      <c r="M185" s="32" t="s">
        <v>203</v>
      </c>
      <c r="N185" s="17" t="str">
        <f t="shared" si="21"/>
        <v>0000</v>
      </c>
      <c r="O185" s="43" t="str">
        <f t="shared" si="25"/>
        <v>000000000</v>
      </c>
      <c r="P185" s="41" t="str">
        <f t="shared" si="22"/>
        <v>000000000</v>
      </c>
      <c r="Q185" s="44" t="s">
        <v>204</v>
      </c>
    </row>
    <row r="186" spans="1:17" x14ac:dyDescent="0.25">
      <c r="A186" s="36" t="str">
        <f t="shared" si="24"/>
        <v>10000000000201708110000000000000000028</v>
      </c>
      <c r="B186" s="37">
        <v>10</v>
      </c>
      <c r="C186" s="32" t="s">
        <v>200</v>
      </c>
      <c r="D186" s="46"/>
      <c r="E186" s="12" t="str">
        <f t="shared" si="18"/>
        <v>00</v>
      </c>
      <c r="F186" s="12" t="str">
        <f t="shared" si="19"/>
        <v>000000000</v>
      </c>
      <c r="G186" s="38">
        <v>201708</v>
      </c>
      <c r="H186" s="39"/>
      <c r="I186" s="40" t="s">
        <v>202</v>
      </c>
      <c r="J186" s="45"/>
      <c r="K186" s="41">
        <f t="shared" si="23"/>
        <v>0</v>
      </c>
      <c r="L186" s="42">
        <f t="shared" si="20"/>
        <v>0</v>
      </c>
      <c r="M186" s="32" t="s">
        <v>203</v>
      </c>
      <c r="N186" s="17" t="str">
        <f t="shared" si="21"/>
        <v>0000</v>
      </c>
      <c r="O186" s="43" t="str">
        <f t="shared" si="25"/>
        <v>000000000</v>
      </c>
      <c r="P186" s="41" t="str">
        <f t="shared" si="22"/>
        <v>000000000</v>
      </c>
      <c r="Q186" s="44" t="s">
        <v>204</v>
      </c>
    </row>
    <row r="187" spans="1:17" x14ac:dyDescent="0.25">
      <c r="A187" s="36" t="str">
        <f t="shared" si="24"/>
        <v>10000000000201708110000000000000000028</v>
      </c>
      <c r="B187" s="37">
        <v>10</v>
      </c>
      <c r="C187" s="32" t="s">
        <v>200</v>
      </c>
      <c r="D187" s="46"/>
      <c r="E187" s="12" t="str">
        <f t="shared" si="18"/>
        <v>00</v>
      </c>
      <c r="F187" s="12" t="str">
        <f t="shared" si="19"/>
        <v>000000000</v>
      </c>
      <c r="G187" s="38">
        <v>201708</v>
      </c>
      <c r="H187" s="39"/>
      <c r="I187" s="40" t="s">
        <v>202</v>
      </c>
      <c r="J187" s="45"/>
      <c r="K187" s="41">
        <f t="shared" si="23"/>
        <v>0</v>
      </c>
      <c r="L187" s="42">
        <f t="shared" si="20"/>
        <v>0</v>
      </c>
      <c r="M187" s="32" t="s">
        <v>203</v>
      </c>
      <c r="N187" s="17" t="str">
        <f t="shared" si="21"/>
        <v>0000</v>
      </c>
      <c r="O187" s="43" t="str">
        <f t="shared" si="25"/>
        <v>000000000</v>
      </c>
      <c r="P187" s="41" t="str">
        <f t="shared" si="22"/>
        <v>000000000</v>
      </c>
      <c r="Q187" s="44" t="s">
        <v>204</v>
      </c>
    </row>
    <row r="188" spans="1:17" x14ac:dyDescent="0.25">
      <c r="A188" s="36" t="str">
        <f t="shared" si="24"/>
        <v>10000000000201708110000000000000000028</v>
      </c>
      <c r="B188" s="37">
        <v>10</v>
      </c>
      <c r="C188" s="32" t="s">
        <v>200</v>
      </c>
      <c r="D188" s="46"/>
      <c r="E188" s="12" t="str">
        <f t="shared" si="18"/>
        <v>00</v>
      </c>
      <c r="F188" s="12" t="str">
        <f t="shared" si="19"/>
        <v>000000000</v>
      </c>
      <c r="G188" s="38">
        <v>201708</v>
      </c>
      <c r="H188" s="39"/>
      <c r="I188" s="40" t="s">
        <v>202</v>
      </c>
      <c r="J188" s="45"/>
      <c r="K188" s="41">
        <f t="shared" si="23"/>
        <v>0</v>
      </c>
      <c r="L188" s="42">
        <f t="shared" si="20"/>
        <v>0</v>
      </c>
      <c r="M188" s="32" t="s">
        <v>203</v>
      </c>
      <c r="N188" s="17" t="str">
        <f t="shared" si="21"/>
        <v>0000</v>
      </c>
      <c r="O188" s="43" t="str">
        <f t="shared" si="25"/>
        <v>000000000</v>
      </c>
      <c r="P188" s="41" t="str">
        <f t="shared" si="22"/>
        <v>000000000</v>
      </c>
      <c r="Q188" s="44" t="s">
        <v>204</v>
      </c>
    </row>
    <row r="189" spans="1:17" x14ac:dyDescent="0.25">
      <c r="A189" s="36" t="str">
        <f t="shared" si="24"/>
        <v>10000000000201708110000000000000000028</v>
      </c>
      <c r="B189" s="37">
        <v>10</v>
      </c>
      <c r="C189" s="32" t="s">
        <v>200</v>
      </c>
      <c r="D189" s="46"/>
      <c r="E189" s="12" t="str">
        <f t="shared" si="18"/>
        <v>00</v>
      </c>
      <c r="F189" s="12" t="str">
        <f t="shared" si="19"/>
        <v>000000000</v>
      </c>
      <c r="G189" s="38">
        <v>201708</v>
      </c>
      <c r="H189" s="39"/>
      <c r="I189" s="40" t="s">
        <v>202</v>
      </c>
      <c r="J189" s="45"/>
      <c r="K189" s="41">
        <f t="shared" si="23"/>
        <v>0</v>
      </c>
      <c r="L189" s="42">
        <f t="shared" si="20"/>
        <v>0</v>
      </c>
      <c r="M189" s="32" t="s">
        <v>203</v>
      </c>
      <c r="N189" s="17" t="str">
        <f t="shared" si="21"/>
        <v>0000</v>
      </c>
      <c r="O189" s="43" t="str">
        <f t="shared" si="25"/>
        <v>000000000</v>
      </c>
      <c r="P189" s="41" t="str">
        <f t="shared" si="22"/>
        <v>000000000</v>
      </c>
      <c r="Q189" s="44" t="s">
        <v>204</v>
      </c>
    </row>
    <row r="190" spans="1:17" x14ac:dyDescent="0.25">
      <c r="A190" s="36" t="str">
        <f t="shared" si="24"/>
        <v>10000000000201708110000000000000000028</v>
      </c>
      <c r="B190" s="37">
        <v>10</v>
      </c>
      <c r="C190" s="32" t="s">
        <v>200</v>
      </c>
      <c r="D190" s="46"/>
      <c r="E190" s="12" t="str">
        <f t="shared" si="18"/>
        <v>00</v>
      </c>
      <c r="F190" s="12" t="str">
        <f t="shared" si="19"/>
        <v>000000000</v>
      </c>
      <c r="G190" s="38">
        <v>201708</v>
      </c>
      <c r="H190" s="39"/>
      <c r="I190" s="40" t="s">
        <v>202</v>
      </c>
      <c r="J190" s="45"/>
      <c r="K190" s="41">
        <f t="shared" si="23"/>
        <v>0</v>
      </c>
      <c r="L190" s="42">
        <f t="shared" si="20"/>
        <v>0</v>
      </c>
      <c r="M190" s="32" t="s">
        <v>203</v>
      </c>
      <c r="N190" s="17" t="str">
        <f t="shared" si="21"/>
        <v>0000</v>
      </c>
      <c r="O190" s="43" t="str">
        <f t="shared" si="25"/>
        <v>000000000</v>
      </c>
      <c r="P190" s="41" t="str">
        <f t="shared" si="22"/>
        <v>000000000</v>
      </c>
      <c r="Q190" s="44" t="s">
        <v>204</v>
      </c>
    </row>
    <row r="191" spans="1:17" x14ac:dyDescent="0.25">
      <c r="A191" s="36" t="str">
        <f t="shared" si="24"/>
        <v>10000000000201708110000000000000000028</v>
      </c>
      <c r="B191" s="37">
        <v>10</v>
      </c>
      <c r="C191" s="32" t="s">
        <v>200</v>
      </c>
      <c r="D191" s="46"/>
      <c r="E191" s="12" t="str">
        <f t="shared" si="18"/>
        <v>00</v>
      </c>
      <c r="F191" s="12" t="str">
        <f t="shared" si="19"/>
        <v>000000000</v>
      </c>
      <c r="G191" s="38">
        <v>201708</v>
      </c>
      <c r="H191" s="39"/>
      <c r="I191" s="40" t="s">
        <v>202</v>
      </c>
      <c r="J191" s="45"/>
      <c r="K191" s="41">
        <f t="shared" si="23"/>
        <v>0</v>
      </c>
      <c r="L191" s="42">
        <f t="shared" si="20"/>
        <v>0</v>
      </c>
      <c r="M191" s="32" t="s">
        <v>203</v>
      </c>
      <c r="N191" s="17" t="str">
        <f t="shared" si="21"/>
        <v>0000</v>
      </c>
      <c r="O191" s="43" t="str">
        <f t="shared" si="25"/>
        <v>000000000</v>
      </c>
      <c r="P191" s="41" t="str">
        <f t="shared" si="22"/>
        <v>000000000</v>
      </c>
      <c r="Q191" s="44" t="s">
        <v>204</v>
      </c>
    </row>
    <row r="192" spans="1:17" x14ac:dyDescent="0.25">
      <c r="A192" s="36" t="str">
        <f t="shared" si="24"/>
        <v>10000000000201708110000000000000000028</v>
      </c>
      <c r="B192" s="37">
        <v>10</v>
      </c>
      <c r="C192" s="32" t="s">
        <v>200</v>
      </c>
      <c r="D192" s="46"/>
      <c r="E192" s="12" t="str">
        <f t="shared" si="18"/>
        <v>00</v>
      </c>
      <c r="F192" s="12" t="str">
        <f t="shared" si="19"/>
        <v>000000000</v>
      </c>
      <c r="G192" s="38">
        <v>201708</v>
      </c>
      <c r="H192" s="39"/>
      <c r="I192" s="40" t="s">
        <v>202</v>
      </c>
      <c r="J192" s="45"/>
      <c r="K192" s="41">
        <f t="shared" si="23"/>
        <v>0</v>
      </c>
      <c r="L192" s="42">
        <f t="shared" si="20"/>
        <v>0</v>
      </c>
      <c r="M192" s="32" t="s">
        <v>203</v>
      </c>
      <c r="N192" s="17" t="str">
        <f t="shared" si="21"/>
        <v>0000</v>
      </c>
      <c r="O192" s="43" t="str">
        <f t="shared" si="25"/>
        <v>000000000</v>
      </c>
      <c r="P192" s="41" t="str">
        <f t="shared" si="22"/>
        <v>000000000</v>
      </c>
      <c r="Q192" s="44" t="s">
        <v>204</v>
      </c>
    </row>
    <row r="193" spans="1:17" x14ac:dyDescent="0.25">
      <c r="A193" s="36" t="str">
        <f t="shared" si="24"/>
        <v>10000000000201708110000000000000000028</v>
      </c>
      <c r="B193" s="37">
        <v>10</v>
      </c>
      <c r="C193" s="32" t="s">
        <v>200</v>
      </c>
      <c r="D193" s="46"/>
      <c r="E193" s="12" t="str">
        <f t="shared" si="18"/>
        <v>00</v>
      </c>
      <c r="F193" s="12" t="str">
        <f t="shared" si="19"/>
        <v>000000000</v>
      </c>
      <c r="G193" s="38">
        <v>201708</v>
      </c>
      <c r="H193" s="39"/>
      <c r="I193" s="40" t="s">
        <v>202</v>
      </c>
      <c r="J193" s="45"/>
      <c r="K193" s="41">
        <f t="shared" si="23"/>
        <v>0</v>
      </c>
      <c r="L193" s="42">
        <f t="shared" si="20"/>
        <v>0</v>
      </c>
      <c r="M193" s="32" t="s">
        <v>203</v>
      </c>
      <c r="N193" s="17" t="str">
        <f t="shared" si="21"/>
        <v>0000</v>
      </c>
      <c r="O193" s="43" t="str">
        <f t="shared" si="25"/>
        <v>000000000</v>
      </c>
      <c r="P193" s="41" t="str">
        <f t="shared" si="22"/>
        <v>000000000</v>
      </c>
      <c r="Q193" s="44" t="s">
        <v>204</v>
      </c>
    </row>
    <row r="194" spans="1:17" x14ac:dyDescent="0.25">
      <c r="A194" s="36" t="str">
        <f t="shared" si="24"/>
        <v>10000000000201708110000000000000000028</v>
      </c>
      <c r="B194" s="37">
        <v>10</v>
      </c>
      <c r="C194" s="32" t="s">
        <v>200</v>
      </c>
      <c r="D194" s="46"/>
      <c r="E194" s="12" t="str">
        <f t="shared" si="18"/>
        <v>00</v>
      </c>
      <c r="F194" s="12" t="str">
        <f t="shared" si="19"/>
        <v>000000000</v>
      </c>
      <c r="G194" s="38">
        <v>201708</v>
      </c>
      <c r="H194" s="39"/>
      <c r="I194" s="40" t="s">
        <v>202</v>
      </c>
      <c r="J194" s="45"/>
      <c r="K194" s="41">
        <f t="shared" si="23"/>
        <v>0</v>
      </c>
      <c r="L194" s="42">
        <f t="shared" si="20"/>
        <v>0</v>
      </c>
      <c r="M194" s="32" t="s">
        <v>203</v>
      </c>
      <c r="N194" s="17" t="str">
        <f t="shared" si="21"/>
        <v>0000</v>
      </c>
      <c r="O194" s="43" t="str">
        <f t="shared" si="25"/>
        <v>000000000</v>
      </c>
      <c r="P194" s="41" t="str">
        <f t="shared" si="22"/>
        <v>000000000</v>
      </c>
      <c r="Q194" s="44" t="s">
        <v>204</v>
      </c>
    </row>
    <row r="195" spans="1:17" x14ac:dyDescent="0.25">
      <c r="A195" s="36" t="str">
        <f t="shared" si="24"/>
        <v>10000000000201708110000000000000000028</v>
      </c>
      <c r="B195" s="37">
        <v>10</v>
      </c>
      <c r="C195" s="32" t="s">
        <v>200</v>
      </c>
      <c r="D195" s="46"/>
      <c r="E195" s="12" t="str">
        <f t="shared" si="18"/>
        <v>00</v>
      </c>
      <c r="F195" s="12" t="str">
        <f t="shared" si="19"/>
        <v>000000000</v>
      </c>
      <c r="G195" s="38">
        <v>201708</v>
      </c>
      <c r="H195" s="39"/>
      <c r="I195" s="40" t="s">
        <v>202</v>
      </c>
      <c r="J195" s="45"/>
      <c r="K195" s="41">
        <f t="shared" si="23"/>
        <v>0</v>
      </c>
      <c r="L195" s="42">
        <f t="shared" si="20"/>
        <v>0</v>
      </c>
      <c r="M195" s="32" t="s">
        <v>203</v>
      </c>
      <c r="N195" s="17" t="str">
        <f t="shared" si="21"/>
        <v>0000</v>
      </c>
      <c r="O195" s="43" t="str">
        <f t="shared" si="25"/>
        <v>000000000</v>
      </c>
      <c r="P195" s="41" t="str">
        <f t="shared" si="22"/>
        <v>000000000</v>
      </c>
      <c r="Q195" s="44" t="s">
        <v>204</v>
      </c>
    </row>
    <row r="196" spans="1:17" x14ac:dyDescent="0.25">
      <c r="A196" s="36" t="str">
        <f t="shared" si="24"/>
        <v>10000000000201708110000000000000000028</v>
      </c>
      <c r="B196" s="37">
        <v>10</v>
      </c>
      <c r="C196" s="32" t="s">
        <v>200</v>
      </c>
      <c r="D196" s="46"/>
      <c r="E196" s="12" t="str">
        <f t="shared" si="18"/>
        <v>00</v>
      </c>
      <c r="F196" s="12" t="str">
        <f t="shared" si="19"/>
        <v>000000000</v>
      </c>
      <c r="G196" s="38">
        <v>201708</v>
      </c>
      <c r="H196" s="39"/>
      <c r="I196" s="40" t="s">
        <v>202</v>
      </c>
      <c r="J196" s="45"/>
      <c r="K196" s="41">
        <f t="shared" si="23"/>
        <v>0</v>
      </c>
      <c r="L196" s="42">
        <f t="shared" si="20"/>
        <v>0</v>
      </c>
      <c r="M196" s="32" t="s">
        <v>203</v>
      </c>
      <c r="N196" s="17" t="str">
        <f t="shared" si="21"/>
        <v>0000</v>
      </c>
      <c r="O196" s="43" t="str">
        <f t="shared" si="25"/>
        <v>000000000</v>
      </c>
      <c r="P196" s="41" t="str">
        <f t="shared" si="22"/>
        <v>000000000</v>
      </c>
      <c r="Q196" s="44" t="s">
        <v>204</v>
      </c>
    </row>
    <row r="197" spans="1:17" x14ac:dyDescent="0.25">
      <c r="A197" s="36" t="str">
        <f t="shared" si="24"/>
        <v>10000000000201708110000000000000000028</v>
      </c>
      <c r="B197" s="37">
        <v>10</v>
      </c>
      <c r="C197" s="32" t="s">
        <v>200</v>
      </c>
      <c r="D197" s="46"/>
      <c r="E197" s="12" t="str">
        <f t="shared" ref="E197:E260" si="26">IF(D197&gt;9,"0",IF(D197&lt;10,"00",0))</f>
        <v>00</v>
      </c>
      <c r="F197" s="12" t="str">
        <f t="shared" si="19"/>
        <v>000000000</v>
      </c>
      <c r="G197" s="38">
        <v>201708</v>
      </c>
      <c r="H197" s="39"/>
      <c r="I197" s="40" t="s">
        <v>202</v>
      </c>
      <c r="J197" s="45"/>
      <c r="K197" s="41">
        <f t="shared" si="23"/>
        <v>0</v>
      </c>
      <c r="L197" s="42">
        <f t="shared" si="20"/>
        <v>0</v>
      </c>
      <c r="M197" s="32" t="s">
        <v>203</v>
      </c>
      <c r="N197" s="17" t="str">
        <f t="shared" si="21"/>
        <v>0000</v>
      </c>
      <c r="O197" s="43" t="str">
        <f t="shared" si="25"/>
        <v>000000000</v>
      </c>
      <c r="P197" s="41" t="str">
        <f t="shared" si="22"/>
        <v>000000000</v>
      </c>
      <c r="Q197" s="44" t="s">
        <v>204</v>
      </c>
    </row>
    <row r="198" spans="1:17" x14ac:dyDescent="0.25">
      <c r="A198" s="36" t="str">
        <f t="shared" si="24"/>
        <v>10000000000201708110000000000000000028</v>
      </c>
      <c r="B198" s="37">
        <v>10</v>
      </c>
      <c r="C198" s="32" t="s">
        <v>200</v>
      </c>
      <c r="D198" s="46"/>
      <c r="E198" s="12" t="str">
        <f t="shared" si="26"/>
        <v>00</v>
      </c>
      <c r="F198" s="12" t="str">
        <f t="shared" ref="F198:F261" si="27">C198&amp;E198&amp;D198</f>
        <v>000000000</v>
      </c>
      <c r="G198" s="38">
        <v>201708</v>
      </c>
      <c r="H198" s="39"/>
      <c r="I198" s="40" t="s">
        <v>202</v>
      </c>
      <c r="J198" s="45"/>
      <c r="K198" s="41">
        <f t="shared" si="23"/>
        <v>0</v>
      </c>
      <c r="L198" s="42">
        <f t="shared" ref="L198:L261" si="28">K198*100</f>
        <v>0</v>
      </c>
      <c r="M198" s="32" t="s">
        <v>203</v>
      </c>
      <c r="N198" s="17" t="str">
        <f t="shared" ref="N198:N261" si="29">IF(L198&lt;=9,"0000",IF(AND(L198&gt;=10,L198&lt;=99),"000",IF(AND(L198&gt;=100,L198&lt;=999),"00",IF(L198&gt;=1000,"0",""))))</f>
        <v>0000</v>
      </c>
      <c r="O198" s="43" t="str">
        <f t="shared" si="25"/>
        <v>000000000</v>
      </c>
      <c r="P198" s="41" t="str">
        <f t="shared" ref="P198:P261" si="30">LEFT(O198,9)</f>
        <v>000000000</v>
      </c>
      <c r="Q198" s="44" t="s">
        <v>204</v>
      </c>
    </row>
    <row r="199" spans="1:17" x14ac:dyDescent="0.25">
      <c r="A199" s="36" t="str">
        <f t="shared" si="24"/>
        <v>10000000000201708110000000000000000028</v>
      </c>
      <c r="B199" s="37">
        <v>10</v>
      </c>
      <c r="C199" s="32" t="s">
        <v>200</v>
      </c>
      <c r="D199" s="46"/>
      <c r="E199" s="12" t="str">
        <f t="shared" si="26"/>
        <v>00</v>
      </c>
      <c r="F199" s="12" t="str">
        <f t="shared" si="27"/>
        <v>000000000</v>
      </c>
      <c r="G199" s="38">
        <v>201708</v>
      </c>
      <c r="H199" s="39"/>
      <c r="I199" s="40" t="s">
        <v>202</v>
      </c>
      <c r="J199" s="45"/>
      <c r="K199" s="41">
        <f t="shared" si="23"/>
        <v>0</v>
      </c>
      <c r="L199" s="42">
        <f t="shared" si="28"/>
        <v>0</v>
      </c>
      <c r="M199" s="32" t="s">
        <v>203</v>
      </c>
      <c r="N199" s="17" t="str">
        <f t="shared" si="29"/>
        <v>0000</v>
      </c>
      <c r="O199" s="43" t="str">
        <f t="shared" si="25"/>
        <v>000000000</v>
      </c>
      <c r="P199" s="41" t="str">
        <f t="shared" si="30"/>
        <v>000000000</v>
      </c>
      <c r="Q199" s="44" t="s">
        <v>204</v>
      </c>
    </row>
    <row r="200" spans="1:17" x14ac:dyDescent="0.25">
      <c r="A200" s="36" t="str">
        <f t="shared" si="24"/>
        <v>10000000000201708110000000000000000028</v>
      </c>
      <c r="B200" s="37">
        <v>10</v>
      </c>
      <c r="C200" s="32" t="s">
        <v>200</v>
      </c>
      <c r="D200" s="46"/>
      <c r="E200" s="12" t="str">
        <f t="shared" si="26"/>
        <v>00</v>
      </c>
      <c r="F200" s="12" t="str">
        <f t="shared" si="27"/>
        <v>000000000</v>
      </c>
      <c r="G200" s="38">
        <v>201708</v>
      </c>
      <c r="H200" s="39"/>
      <c r="I200" s="40" t="s">
        <v>202</v>
      </c>
      <c r="J200" s="45"/>
      <c r="K200" s="41">
        <f t="shared" si="23"/>
        <v>0</v>
      </c>
      <c r="L200" s="42">
        <f t="shared" si="28"/>
        <v>0</v>
      </c>
      <c r="M200" s="32" t="s">
        <v>203</v>
      </c>
      <c r="N200" s="17" t="str">
        <f t="shared" si="29"/>
        <v>0000</v>
      </c>
      <c r="O200" s="43" t="str">
        <f t="shared" si="25"/>
        <v>000000000</v>
      </c>
      <c r="P200" s="41" t="str">
        <f t="shared" si="30"/>
        <v>000000000</v>
      </c>
      <c r="Q200" s="44" t="s">
        <v>204</v>
      </c>
    </row>
    <row r="201" spans="1:17" x14ac:dyDescent="0.25">
      <c r="A201" s="36" t="str">
        <f t="shared" si="24"/>
        <v>10000000000201708110000000000000000028</v>
      </c>
      <c r="B201" s="37">
        <v>10</v>
      </c>
      <c r="C201" s="32" t="s">
        <v>200</v>
      </c>
      <c r="D201" s="46"/>
      <c r="E201" s="12" t="str">
        <f t="shared" si="26"/>
        <v>00</v>
      </c>
      <c r="F201" s="12" t="str">
        <f t="shared" si="27"/>
        <v>000000000</v>
      </c>
      <c r="G201" s="38">
        <v>201708</v>
      </c>
      <c r="H201" s="39"/>
      <c r="I201" s="40" t="s">
        <v>202</v>
      </c>
      <c r="J201" s="45"/>
      <c r="K201" s="41">
        <f t="shared" ref="K201:K264" si="31">J201*24</f>
        <v>0</v>
      </c>
      <c r="L201" s="42">
        <f t="shared" si="28"/>
        <v>0</v>
      </c>
      <c r="M201" s="32" t="s">
        <v>203</v>
      </c>
      <c r="N201" s="17" t="str">
        <f t="shared" si="29"/>
        <v>0000</v>
      </c>
      <c r="O201" s="43" t="str">
        <f t="shared" si="25"/>
        <v>000000000</v>
      </c>
      <c r="P201" s="41" t="str">
        <f t="shared" si="30"/>
        <v>000000000</v>
      </c>
      <c r="Q201" s="44" t="s">
        <v>204</v>
      </c>
    </row>
    <row r="202" spans="1:17" x14ac:dyDescent="0.25">
      <c r="A202" s="36" t="str">
        <f t="shared" si="24"/>
        <v>10000000000201708110000000000000000028</v>
      </c>
      <c r="B202" s="37">
        <v>10</v>
      </c>
      <c r="C202" s="32" t="s">
        <v>200</v>
      </c>
      <c r="D202" s="46"/>
      <c r="E202" s="12" t="str">
        <f t="shared" si="26"/>
        <v>00</v>
      </c>
      <c r="F202" s="12" t="str">
        <f t="shared" si="27"/>
        <v>000000000</v>
      </c>
      <c r="G202" s="38">
        <v>201708</v>
      </c>
      <c r="H202" s="39"/>
      <c r="I202" s="40" t="s">
        <v>202</v>
      </c>
      <c r="J202" s="45"/>
      <c r="K202" s="41">
        <f t="shared" si="31"/>
        <v>0</v>
      </c>
      <c r="L202" s="42">
        <f t="shared" si="28"/>
        <v>0</v>
      </c>
      <c r="M202" s="32" t="s">
        <v>203</v>
      </c>
      <c r="N202" s="17" t="str">
        <f t="shared" si="29"/>
        <v>0000</v>
      </c>
      <c r="O202" s="43" t="str">
        <f t="shared" si="25"/>
        <v>000000000</v>
      </c>
      <c r="P202" s="41" t="str">
        <f t="shared" si="30"/>
        <v>000000000</v>
      </c>
      <c r="Q202" s="44" t="s">
        <v>204</v>
      </c>
    </row>
    <row r="203" spans="1:17" x14ac:dyDescent="0.25">
      <c r="A203" s="36" t="str">
        <f t="shared" ref="A203:A266" si="32">B203&amp;F203&amp;G203&amp;H203&amp;I203&amp;P203&amp;Q203</f>
        <v>10000000000201708110000000000000000028</v>
      </c>
      <c r="B203" s="37">
        <v>10</v>
      </c>
      <c r="C203" s="32" t="s">
        <v>200</v>
      </c>
      <c r="D203" s="46"/>
      <c r="E203" s="12" t="str">
        <f t="shared" si="26"/>
        <v>00</v>
      </c>
      <c r="F203" s="12" t="str">
        <f t="shared" si="27"/>
        <v>000000000</v>
      </c>
      <c r="G203" s="38">
        <v>201708</v>
      </c>
      <c r="H203" s="39"/>
      <c r="I203" s="40" t="s">
        <v>202</v>
      </c>
      <c r="J203" s="45"/>
      <c r="K203" s="41">
        <f t="shared" si="31"/>
        <v>0</v>
      </c>
      <c r="L203" s="42">
        <f t="shared" si="28"/>
        <v>0</v>
      </c>
      <c r="M203" s="32" t="s">
        <v>203</v>
      </c>
      <c r="N203" s="17" t="str">
        <f t="shared" si="29"/>
        <v>0000</v>
      </c>
      <c r="O203" s="43" t="str">
        <f t="shared" si="25"/>
        <v>000000000</v>
      </c>
      <c r="P203" s="41" t="str">
        <f t="shared" si="30"/>
        <v>000000000</v>
      </c>
      <c r="Q203" s="44" t="s">
        <v>204</v>
      </c>
    </row>
    <row r="204" spans="1:17" x14ac:dyDescent="0.25">
      <c r="A204" s="36" t="str">
        <f t="shared" si="32"/>
        <v>10000000000201708110000000000000000028</v>
      </c>
      <c r="B204" s="37">
        <v>10</v>
      </c>
      <c r="C204" s="32" t="s">
        <v>200</v>
      </c>
      <c r="D204" s="46"/>
      <c r="E204" s="12" t="str">
        <f t="shared" si="26"/>
        <v>00</v>
      </c>
      <c r="F204" s="12" t="str">
        <f t="shared" si="27"/>
        <v>000000000</v>
      </c>
      <c r="G204" s="38">
        <v>201708</v>
      </c>
      <c r="H204" s="39"/>
      <c r="I204" s="40" t="s">
        <v>202</v>
      </c>
      <c r="J204" s="45"/>
      <c r="K204" s="41">
        <f t="shared" si="31"/>
        <v>0</v>
      </c>
      <c r="L204" s="42">
        <f t="shared" si="28"/>
        <v>0</v>
      </c>
      <c r="M204" s="32" t="s">
        <v>203</v>
      </c>
      <c r="N204" s="17" t="str">
        <f t="shared" si="29"/>
        <v>0000</v>
      </c>
      <c r="O204" s="43" t="str">
        <f t="shared" si="25"/>
        <v>000000000</v>
      </c>
      <c r="P204" s="41" t="str">
        <f t="shared" si="30"/>
        <v>000000000</v>
      </c>
      <c r="Q204" s="44" t="s">
        <v>204</v>
      </c>
    </row>
    <row r="205" spans="1:17" x14ac:dyDescent="0.25">
      <c r="A205" s="36" t="str">
        <f t="shared" si="32"/>
        <v>10000000000201708110000000000000000028</v>
      </c>
      <c r="B205" s="37">
        <v>10</v>
      </c>
      <c r="C205" s="32" t="s">
        <v>200</v>
      </c>
      <c r="D205" s="46"/>
      <c r="E205" s="12" t="str">
        <f t="shared" si="26"/>
        <v>00</v>
      </c>
      <c r="F205" s="12" t="str">
        <f t="shared" si="27"/>
        <v>000000000</v>
      </c>
      <c r="G205" s="38">
        <v>201708</v>
      </c>
      <c r="H205" s="39"/>
      <c r="I205" s="40" t="s">
        <v>202</v>
      </c>
      <c r="J205" s="45"/>
      <c r="K205" s="41">
        <f t="shared" si="31"/>
        <v>0</v>
      </c>
      <c r="L205" s="42">
        <f t="shared" si="28"/>
        <v>0</v>
      </c>
      <c r="M205" s="32" t="s">
        <v>203</v>
      </c>
      <c r="N205" s="17" t="str">
        <f t="shared" si="29"/>
        <v>0000</v>
      </c>
      <c r="O205" s="43" t="str">
        <f t="shared" ref="O205:O268" si="33">M205&amp;N205&amp;L205</f>
        <v>000000000</v>
      </c>
      <c r="P205" s="41" t="str">
        <f t="shared" si="30"/>
        <v>000000000</v>
      </c>
      <c r="Q205" s="44" t="s">
        <v>204</v>
      </c>
    </row>
    <row r="206" spans="1:17" x14ac:dyDescent="0.25">
      <c r="A206" s="36" t="str">
        <f t="shared" si="32"/>
        <v>10000000000201708110000000000000000028</v>
      </c>
      <c r="B206" s="37">
        <v>10</v>
      </c>
      <c r="C206" s="32" t="s">
        <v>200</v>
      </c>
      <c r="D206" s="46"/>
      <c r="E206" s="12" t="str">
        <f t="shared" si="26"/>
        <v>00</v>
      </c>
      <c r="F206" s="12" t="str">
        <f t="shared" si="27"/>
        <v>000000000</v>
      </c>
      <c r="G206" s="38">
        <v>201708</v>
      </c>
      <c r="H206" s="39"/>
      <c r="I206" s="40" t="s">
        <v>202</v>
      </c>
      <c r="J206" s="45"/>
      <c r="K206" s="41">
        <f t="shared" si="31"/>
        <v>0</v>
      </c>
      <c r="L206" s="42">
        <f t="shared" si="28"/>
        <v>0</v>
      </c>
      <c r="M206" s="32" t="s">
        <v>203</v>
      </c>
      <c r="N206" s="17" t="str">
        <f t="shared" si="29"/>
        <v>0000</v>
      </c>
      <c r="O206" s="43" t="str">
        <f t="shared" si="33"/>
        <v>000000000</v>
      </c>
      <c r="P206" s="41" t="str">
        <f t="shared" si="30"/>
        <v>000000000</v>
      </c>
      <c r="Q206" s="44" t="s">
        <v>204</v>
      </c>
    </row>
    <row r="207" spans="1:17" x14ac:dyDescent="0.25">
      <c r="A207" s="36" t="str">
        <f t="shared" si="32"/>
        <v>10000000000201708110000000000000000028</v>
      </c>
      <c r="B207" s="37">
        <v>10</v>
      </c>
      <c r="C207" s="32" t="s">
        <v>200</v>
      </c>
      <c r="D207" s="46"/>
      <c r="E207" s="12" t="str">
        <f t="shared" si="26"/>
        <v>00</v>
      </c>
      <c r="F207" s="12" t="str">
        <f t="shared" si="27"/>
        <v>000000000</v>
      </c>
      <c r="G207" s="38">
        <v>201708</v>
      </c>
      <c r="H207" s="39"/>
      <c r="I207" s="40" t="s">
        <v>202</v>
      </c>
      <c r="J207" s="45"/>
      <c r="K207" s="41">
        <f t="shared" si="31"/>
        <v>0</v>
      </c>
      <c r="L207" s="42">
        <f t="shared" si="28"/>
        <v>0</v>
      </c>
      <c r="M207" s="32" t="s">
        <v>203</v>
      </c>
      <c r="N207" s="17" t="str">
        <f t="shared" si="29"/>
        <v>0000</v>
      </c>
      <c r="O207" s="43" t="str">
        <f t="shared" si="33"/>
        <v>000000000</v>
      </c>
      <c r="P207" s="41" t="str">
        <f t="shared" si="30"/>
        <v>000000000</v>
      </c>
      <c r="Q207" s="44" t="s">
        <v>204</v>
      </c>
    </row>
    <row r="208" spans="1:17" x14ac:dyDescent="0.25">
      <c r="A208" s="36" t="str">
        <f t="shared" si="32"/>
        <v>10000000000201708110000000000000000028</v>
      </c>
      <c r="B208" s="37">
        <v>10</v>
      </c>
      <c r="C208" s="32" t="s">
        <v>200</v>
      </c>
      <c r="D208" s="46"/>
      <c r="E208" s="12" t="str">
        <f t="shared" si="26"/>
        <v>00</v>
      </c>
      <c r="F208" s="12" t="str">
        <f t="shared" si="27"/>
        <v>000000000</v>
      </c>
      <c r="G208" s="38">
        <v>201708</v>
      </c>
      <c r="H208" s="39"/>
      <c r="I208" s="40" t="s">
        <v>202</v>
      </c>
      <c r="J208" s="45"/>
      <c r="K208" s="41">
        <f t="shared" si="31"/>
        <v>0</v>
      </c>
      <c r="L208" s="42">
        <f t="shared" si="28"/>
        <v>0</v>
      </c>
      <c r="M208" s="32" t="s">
        <v>203</v>
      </c>
      <c r="N208" s="17" t="str">
        <f t="shared" si="29"/>
        <v>0000</v>
      </c>
      <c r="O208" s="43" t="str">
        <f t="shared" si="33"/>
        <v>000000000</v>
      </c>
      <c r="P208" s="41" t="str">
        <f t="shared" si="30"/>
        <v>000000000</v>
      </c>
      <c r="Q208" s="44" t="s">
        <v>204</v>
      </c>
    </row>
    <row r="209" spans="1:17" x14ac:dyDescent="0.25">
      <c r="A209" s="36" t="str">
        <f t="shared" si="32"/>
        <v>10000000000201708110000000000000000028</v>
      </c>
      <c r="B209" s="37">
        <v>10</v>
      </c>
      <c r="C209" s="32" t="s">
        <v>200</v>
      </c>
      <c r="D209" s="46"/>
      <c r="E209" s="12" t="str">
        <f t="shared" si="26"/>
        <v>00</v>
      </c>
      <c r="F209" s="12" t="str">
        <f t="shared" si="27"/>
        <v>000000000</v>
      </c>
      <c r="G209" s="38">
        <v>201708</v>
      </c>
      <c r="H209" s="39"/>
      <c r="I209" s="40" t="s">
        <v>202</v>
      </c>
      <c r="J209" s="45"/>
      <c r="K209" s="41">
        <f t="shared" si="31"/>
        <v>0</v>
      </c>
      <c r="L209" s="42">
        <f t="shared" si="28"/>
        <v>0</v>
      </c>
      <c r="M209" s="32" t="s">
        <v>203</v>
      </c>
      <c r="N209" s="17" t="str">
        <f t="shared" si="29"/>
        <v>0000</v>
      </c>
      <c r="O209" s="43" t="str">
        <f t="shared" si="33"/>
        <v>000000000</v>
      </c>
      <c r="P209" s="41" t="str">
        <f t="shared" si="30"/>
        <v>000000000</v>
      </c>
      <c r="Q209" s="44" t="s">
        <v>204</v>
      </c>
    </row>
    <row r="210" spans="1:17" x14ac:dyDescent="0.25">
      <c r="A210" s="36" t="str">
        <f t="shared" si="32"/>
        <v>10000000000201708110000000000000000028</v>
      </c>
      <c r="B210" s="37">
        <v>10</v>
      </c>
      <c r="C210" s="32" t="s">
        <v>200</v>
      </c>
      <c r="D210" s="46"/>
      <c r="E210" s="12" t="str">
        <f t="shared" si="26"/>
        <v>00</v>
      </c>
      <c r="F210" s="12" t="str">
        <f t="shared" si="27"/>
        <v>000000000</v>
      </c>
      <c r="G210" s="38">
        <v>201708</v>
      </c>
      <c r="H210" s="39"/>
      <c r="I210" s="40" t="s">
        <v>202</v>
      </c>
      <c r="J210" s="45"/>
      <c r="K210" s="41">
        <f t="shared" si="31"/>
        <v>0</v>
      </c>
      <c r="L210" s="42">
        <f t="shared" si="28"/>
        <v>0</v>
      </c>
      <c r="M210" s="32" t="s">
        <v>203</v>
      </c>
      <c r="N210" s="17" t="str">
        <f t="shared" si="29"/>
        <v>0000</v>
      </c>
      <c r="O210" s="43" t="str">
        <f t="shared" si="33"/>
        <v>000000000</v>
      </c>
      <c r="P210" s="41" t="str">
        <f t="shared" si="30"/>
        <v>000000000</v>
      </c>
      <c r="Q210" s="44" t="s">
        <v>204</v>
      </c>
    </row>
    <row r="211" spans="1:17" x14ac:dyDescent="0.25">
      <c r="A211" s="36" t="str">
        <f t="shared" si="32"/>
        <v>10000000000201708110000000000000000028</v>
      </c>
      <c r="B211" s="37">
        <v>10</v>
      </c>
      <c r="C211" s="32" t="s">
        <v>200</v>
      </c>
      <c r="D211" s="46"/>
      <c r="E211" s="12" t="str">
        <f t="shared" si="26"/>
        <v>00</v>
      </c>
      <c r="F211" s="12" t="str">
        <f t="shared" si="27"/>
        <v>000000000</v>
      </c>
      <c r="G211" s="38">
        <v>201708</v>
      </c>
      <c r="H211" s="39"/>
      <c r="I211" s="40" t="s">
        <v>202</v>
      </c>
      <c r="J211" s="45"/>
      <c r="K211" s="41">
        <f t="shared" si="31"/>
        <v>0</v>
      </c>
      <c r="L211" s="42">
        <f t="shared" si="28"/>
        <v>0</v>
      </c>
      <c r="M211" s="32" t="s">
        <v>203</v>
      </c>
      <c r="N211" s="17" t="str">
        <f t="shared" si="29"/>
        <v>0000</v>
      </c>
      <c r="O211" s="43" t="str">
        <f t="shared" si="33"/>
        <v>000000000</v>
      </c>
      <c r="P211" s="41" t="str">
        <f t="shared" si="30"/>
        <v>000000000</v>
      </c>
      <c r="Q211" s="44" t="s">
        <v>204</v>
      </c>
    </row>
    <row r="212" spans="1:17" x14ac:dyDescent="0.25">
      <c r="A212" s="36" t="str">
        <f t="shared" si="32"/>
        <v>10000000000201708110000000000000000028</v>
      </c>
      <c r="B212" s="37">
        <v>10</v>
      </c>
      <c r="C212" s="32" t="s">
        <v>200</v>
      </c>
      <c r="D212" s="46"/>
      <c r="E212" s="12" t="str">
        <f t="shared" si="26"/>
        <v>00</v>
      </c>
      <c r="F212" s="12" t="str">
        <f t="shared" si="27"/>
        <v>000000000</v>
      </c>
      <c r="G212" s="38">
        <v>201708</v>
      </c>
      <c r="H212" s="39"/>
      <c r="I212" s="40" t="s">
        <v>202</v>
      </c>
      <c r="J212" s="45"/>
      <c r="K212" s="41">
        <f t="shared" si="31"/>
        <v>0</v>
      </c>
      <c r="L212" s="42">
        <f t="shared" si="28"/>
        <v>0</v>
      </c>
      <c r="M212" s="32" t="s">
        <v>203</v>
      </c>
      <c r="N212" s="17" t="str">
        <f t="shared" si="29"/>
        <v>0000</v>
      </c>
      <c r="O212" s="43" t="str">
        <f t="shared" si="33"/>
        <v>000000000</v>
      </c>
      <c r="P212" s="41" t="str">
        <f t="shared" si="30"/>
        <v>000000000</v>
      </c>
      <c r="Q212" s="44" t="s">
        <v>204</v>
      </c>
    </row>
    <row r="213" spans="1:17" x14ac:dyDescent="0.25">
      <c r="A213" s="36" t="str">
        <f t="shared" si="32"/>
        <v>10000000000201708110000000000000000028</v>
      </c>
      <c r="B213" s="37">
        <v>10</v>
      </c>
      <c r="C213" s="32" t="s">
        <v>200</v>
      </c>
      <c r="D213" s="46"/>
      <c r="E213" s="12" t="str">
        <f t="shared" si="26"/>
        <v>00</v>
      </c>
      <c r="F213" s="12" t="str">
        <f t="shared" si="27"/>
        <v>000000000</v>
      </c>
      <c r="G213" s="38">
        <v>201708</v>
      </c>
      <c r="H213" s="39"/>
      <c r="I213" s="40" t="s">
        <v>202</v>
      </c>
      <c r="J213" s="45"/>
      <c r="K213" s="41">
        <f t="shared" si="31"/>
        <v>0</v>
      </c>
      <c r="L213" s="42">
        <f t="shared" si="28"/>
        <v>0</v>
      </c>
      <c r="M213" s="32" t="s">
        <v>203</v>
      </c>
      <c r="N213" s="17" t="str">
        <f t="shared" si="29"/>
        <v>0000</v>
      </c>
      <c r="O213" s="43" t="str">
        <f t="shared" si="33"/>
        <v>000000000</v>
      </c>
      <c r="P213" s="41" t="str">
        <f t="shared" si="30"/>
        <v>000000000</v>
      </c>
      <c r="Q213" s="44" t="s">
        <v>204</v>
      </c>
    </row>
    <row r="214" spans="1:17" x14ac:dyDescent="0.25">
      <c r="A214" s="36" t="str">
        <f t="shared" si="32"/>
        <v>10000000000201708110000000000000000028</v>
      </c>
      <c r="B214" s="37">
        <v>10</v>
      </c>
      <c r="C214" s="32" t="s">
        <v>200</v>
      </c>
      <c r="D214" s="46"/>
      <c r="E214" s="12" t="str">
        <f t="shared" si="26"/>
        <v>00</v>
      </c>
      <c r="F214" s="12" t="str">
        <f t="shared" si="27"/>
        <v>000000000</v>
      </c>
      <c r="G214" s="38">
        <v>201708</v>
      </c>
      <c r="H214" s="39"/>
      <c r="I214" s="40" t="s">
        <v>202</v>
      </c>
      <c r="J214" s="45"/>
      <c r="K214" s="41">
        <f t="shared" si="31"/>
        <v>0</v>
      </c>
      <c r="L214" s="42">
        <f t="shared" si="28"/>
        <v>0</v>
      </c>
      <c r="M214" s="32" t="s">
        <v>203</v>
      </c>
      <c r="N214" s="17" t="str">
        <f t="shared" si="29"/>
        <v>0000</v>
      </c>
      <c r="O214" s="43" t="str">
        <f t="shared" si="33"/>
        <v>000000000</v>
      </c>
      <c r="P214" s="41" t="str">
        <f t="shared" si="30"/>
        <v>000000000</v>
      </c>
      <c r="Q214" s="44" t="s">
        <v>204</v>
      </c>
    </row>
    <row r="215" spans="1:17" x14ac:dyDescent="0.25">
      <c r="A215" s="36" t="str">
        <f t="shared" si="32"/>
        <v>10000000000201708110000000000000000028</v>
      </c>
      <c r="B215" s="37">
        <v>10</v>
      </c>
      <c r="C215" s="32" t="s">
        <v>200</v>
      </c>
      <c r="D215" s="46"/>
      <c r="E215" s="12" t="str">
        <f t="shared" si="26"/>
        <v>00</v>
      </c>
      <c r="F215" s="12" t="str">
        <f t="shared" si="27"/>
        <v>000000000</v>
      </c>
      <c r="G215" s="38">
        <v>201708</v>
      </c>
      <c r="H215" s="39"/>
      <c r="I215" s="40" t="s">
        <v>202</v>
      </c>
      <c r="J215" s="45"/>
      <c r="K215" s="41">
        <f t="shared" si="31"/>
        <v>0</v>
      </c>
      <c r="L215" s="42">
        <f t="shared" si="28"/>
        <v>0</v>
      </c>
      <c r="M215" s="32" t="s">
        <v>203</v>
      </c>
      <c r="N215" s="17" t="str">
        <f t="shared" si="29"/>
        <v>0000</v>
      </c>
      <c r="O215" s="43" t="str">
        <f t="shared" si="33"/>
        <v>000000000</v>
      </c>
      <c r="P215" s="41" t="str">
        <f t="shared" si="30"/>
        <v>000000000</v>
      </c>
      <c r="Q215" s="44" t="s">
        <v>204</v>
      </c>
    </row>
    <row r="216" spans="1:17" x14ac:dyDescent="0.25">
      <c r="A216" s="36" t="str">
        <f t="shared" si="32"/>
        <v>10000000000201708110000000000000000028</v>
      </c>
      <c r="B216" s="37">
        <v>10</v>
      </c>
      <c r="C216" s="32" t="s">
        <v>200</v>
      </c>
      <c r="D216" s="46"/>
      <c r="E216" s="12" t="str">
        <f t="shared" si="26"/>
        <v>00</v>
      </c>
      <c r="F216" s="12" t="str">
        <f t="shared" si="27"/>
        <v>000000000</v>
      </c>
      <c r="G216" s="38">
        <v>201708</v>
      </c>
      <c r="H216" s="39"/>
      <c r="I216" s="40" t="s">
        <v>202</v>
      </c>
      <c r="J216" s="45"/>
      <c r="K216" s="41">
        <f t="shared" si="31"/>
        <v>0</v>
      </c>
      <c r="L216" s="42">
        <f t="shared" si="28"/>
        <v>0</v>
      </c>
      <c r="M216" s="32" t="s">
        <v>203</v>
      </c>
      <c r="N216" s="17" t="str">
        <f t="shared" si="29"/>
        <v>0000</v>
      </c>
      <c r="O216" s="43" t="str">
        <f t="shared" si="33"/>
        <v>000000000</v>
      </c>
      <c r="P216" s="41" t="str">
        <f t="shared" si="30"/>
        <v>000000000</v>
      </c>
      <c r="Q216" s="44" t="s">
        <v>204</v>
      </c>
    </row>
    <row r="217" spans="1:17" x14ac:dyDescent="0.25">
      <c r="A217" s="36" t="str">
        <f t="shared" si="32"/>
        <v>10000000000201708110000000000000000028</v>
      </c>
      <c r="B217" s="37">
        <v>10</v>
      </c>
      <c r="C217" s="32" t="s">
        <v>200</v>
      </c>
      <c r="D217" s="46"/>
      <c r="E217" s="12" t="str">
        <f t="shared" si="26"/>
        <v>00</v>
      </c>
      <c r="F217" s="12" t="str">
        <f t="shared" si="27"/>
        <v>000000000</v>
      </c>
      <c r="G217" s="38">
        <v>201708</v>
      </c>
      <c r="H217" s="39"/>
      <c r="I217" s="40" t="s">
        <v>202</v>
      </c>
      <c r="J217" s="45"/>
      <c r="K217" s="41">
        <f t="shared" si="31"/>
        <v>0</v>
      </c>
      <c r="L217" s="42">
        <f t="shared" si="28"/>
        <v>0</v>
      </c>
      <c r="M217" s="32" t="s">
        <v>203</v>
      </c>
      <c r="N217" s="17" t="str">
        <f t="shared" si="29"/>
        <v>0000</v>
      </c>
      <c r="O217" s="43" t="str">
        <f t="shared" si="33"/>
        <v>000000000</v>
      </c>
      <c r="P217" s="41" t="str">
        <f t="shared" si="30"/>
        <v>000000000</v>
      </c>
      <c r="Q217" s="44" t="s">
        <v>204</v>
      </c>
    </row>
    <row r="218" spans="1:17" x14ac:dyDescent="0.25">
      <c r="A218" s="36" t="str">
        <f t="shared" si="32"/>
        <v>10000000000201708110000000000000000028</v>
      </c>
      <c r="B218" s="37">
        <v>10</v>
      </c>
      <c r="C218" s="32" t="s">
        <v>200</v>
      </c>
      <c r="D218" s="46"/>
      <c r="E218" s="12" t="str">
        <f t="shared" si="26"/>
        <v>00</v>
      </c>
      <c r="F218" s="12" t="str">
        <f t="shared" si="27"/>
        <v>000000000</v>
      </c>
      <c r="G218" s="38">
        <v>201708</v>
      </c>
      <c r="H218" s="39"/>
      <c r="I218" s="40" t="s">
        <v>202</v>
      </c>
      <c r="J218" s="45"/>
      <c r="K218" s="41">
        <f t="shared" si="31"/>
        <v>0</v>
      </c>
      <c r="L218" s="42">
        <f t="shared" si="28"/>
        <v>0</v>
      </c>
      <c r="M218" s="32" t="s">
        <v>203</v>
      </c>
      <c r="N218" s="17" t="str">
        <f t="shared" si="29"/>
        <v>0000</v>
      </c>
      <c r="O218" s="43" t="str">
        <f t="shared" si="33"/>
        <v>000000000</v>
      </c>
      <c r="P218" s="41" t="str">
        <f t="shared" si="30"/>
        <v>000000000</v>
      </c>
      <c r="Q218" s="44" t="s">
        <v>204</v>
      </c>
    </row>
    <row r="219" spans="1:17" x14ac:dyDescent="0.25">
      <c r="A219" s="36" t="str">
        <f t="shared" si="32"/>
        <v>10000000000201708110000000000000000028</v>
      </c>
      <c r="B219" s="37">
        <v>10</v>
      </c>
      <c r="C219" s="32" t="s">
        <v>200</v>
      </c>
      <c r="D219" s="46"/>
      <c r="E219" s="12" t="str">
        <f t="shared" si="26"/>
        <v>00</v>
      </c>
      <c r="F219" s="12" t="str">
        <f t="shared" si="27"/>
        <v>000000000</v>
      </c>
      <c r="G219" s="38">
        <v>201708</v>
      </c>
      <c r="H219" s="39"/>
      <c r="I219" s="40" t="s">
        <v>202</v>
      </c>
      <c r="J219" s="45"/>
      <c r="K219" s="41">
        <f t="shared" si="31"/>
        <v>0</v>
      </c>
      <c r="L219" s="42">
        <f t="shared" si="28"/>
        <v>0</v>
      </c>
      <c r="M219" s="32" t="s">
        <v>203</v>
      </c>
      <c r="N219" s="17" t="str">
        <f t="shared" si="29"/>
        <v>0000</v>
      </c>
      <c r="O219" s="43" t="str">
        <f t="shared" si="33"/>
        <v>000000000</v>
      </c>
      <c r="P219" s="41" t="str">
        <f t="shared" si="30"/>
        <v>000000000</v>
      </c>
      <c r="Q219" s="44" t="s">
        <v>204</v>
      </c>
    </row>
    <row r="220" spans="1:17" x14ac:dyDescent="0.25">
      <c r="A220" s="36" t="str">
        <f t="shared" si="32"/>
        <v>10000000000201708110000000000000000028</v>
      </c>
      <c r="B220" s="37">
        <v>10</v>
      </c>
      <c r="C220" s="32" t="s">
        <v>200</v>
      </c>
      <c r="D220" s="46"/>
      <c r="E220" s="12" t="str">
        <f t="shared" si="26"/>
        <v>00</v>
      </c>
      <c r="F220" s="12" t="str">
        <f t="shared" si="27"/>
        <v>000000000</v>
      </c>
      <c r="G220" s="38">
        <v>201708</v>
      </c>
      <c r="H220" s="39"/>
      <c r="I220" s="40" t="s">
        <v>202</v>
      </c>
      <c r="J220" s="45"/>
      <c r="K220" s="41">
        <f t="shared" si="31"/>
        <v>0</v>
      </c>
      <c r="L220" s="42">
        <f t="shared" si="28"/>
        <v>0</v>
      </c>
      <c r="M220" s="32" t="s">
        <v>203</v>
      </c>
      <c r="N220" s="17" t="str">
        <f t="shared" si="29"/>
        <v>0000</v>
      </c>
      <c r="O220" s="43" t="str">
        <f t="shared" si="33"/>
        <v>000000000</v>
      </c>
      <c r="P220" s="41" t="str">
        <f t="shared" si="30"/>
        <v>000000000</v>
      </c>
      <c r="Q220" s="44" t="s">
        <v>204</v>
      </c>
    </row>
    <row r="221" spans="1:17" x14ac:dyDescent="0.25">
      <c r="A221" s="36" t="str">
        <f t="shared" si="32"/>
        <v>10000000000201708110000000000000000028</v>
      </c>
      <c r="B221" s="37">
        <v>10</v>
      </c>
      <c r="C221" s="32" t="s">
        <v>200</v>
      </c>
      <c r="D221" s="46"/>
      <c r="E221" s="12" t="str">
        <f t="shared" si="26"/>
        <v>00</v>
      </c>
      <c r="F221" s="12" t="str">
        <f t="shared" si="27"/>
        <v>000000000</v>
      </c>
      <c r="G221" s="38">
        <v>201708</v>
      </c>
      <c r="H221" s="39"/>
      <c r="I221" s="40" t="s">
        <v>202</v>
      </c>
      <c r="J221" s="45"/>
      <c r="K221" s="41">
        <f t="shared" si="31"/>
        <v>0</v>
      </c>
      <c r="L221" s="42">
        <f t="shared" si="28"/>
        <v>0</v>
      </c>
      <c r="M221" s="32" t="s">
        <v>203</v>
      </c>
      <c r="N221" s="17" t="str">
        <f t="shared" si="29"/>
        <v>0000</v>
      </c>
      <c r="O221" s="43" t="str">
        <f t="shared" si="33"/>
        <v>000000000</v>
      </c>
      <c r="P221" s="41" t="str">
        <f t="shared" si="30"/>
        <v>000000000</v>
      </c>
      <c r="Q221" s="44" t="s">
        <v>204</v>
      </c>
    </row>
    <row r="222" spans="1:17" x14ac:dyDescent="0.25">
      <c r="A222" s="36" t="str">
        <f t="shared" si="32"/>
        <v>10000000000201708110000000000000000028</v>
      </c>
      <c r="B222" s="37">
        <v>10</v>
      </c>
      <c r="C222" s="32" t="s">
        <v>200</v>
      </c>
      <c r="D222" s="46"/>
      <c r="E222" s="12" t="str">
        <f t="shared" si="26"/>
        <v>00</v>
      </c>
      <c r="F222" s="12" t="str">
        <f t="shared" si="27"/>
        <v>000000000</v>
      </c>
      <c r="G222" s="38">
        <v>201708</v>
      </c>
      <c r="H222" s="39"/>
      <c r="I222" s="40" t="s">
        <v>202</v>
      </c>
      <c r="J222" s="45"/>
      <c r="K222" s="41">
        <f t="shared" si="31"/>
        <v>0</v>
      </c>
      <c r="L222" s="42">
        <f t="shared" si="28"/>
        <v>0</v>
      </c>
      <c r="M222" s="32" t="s">
        <v>203</v>
      </c>
      <c r="N222" s="17" t="str">
        <f t="shared" si="29"/>
        <v>0000</v>
      </c>
      <c r="O222" s="43" t="str">
        <f t="shared" si="33"/>
        <v>000000000</v>
      </c>
      <c r="P222" s="41" t="str">
        <f t="shared" si="30"/>
        <v>000000000</v>
      </c>
      <c r="Q222" s="44" t="s">
        <v>204</v>
      </c>
    </row>
    <row r="223" spans="1:17" x14ac:dyDescent="0.25">
      <c r="A223" s="36" t="str">
        <f t="shared" si="32"/>
        <v>10000000000201708110000000000000000028</v>
      </c>
      <c r="B223" s="37">
        <v>10</v>
      </c>
      <c r="C223" s="32" t="s">
        <v>200</v>
      </c>
      <c r="D223" s="46"/>
      <c r="E223" s="12" t="str">
        <f t="shared" si="26"/>
        <v>00</v>
      </c>
      <c r="F223" s="12" t="str">
        <f t="shared" si="27"/>
        <v>000000000</v>
      </c>
      <c r="G223" s="38">
        <v>201708</v>
      </c>
      <c r="H223" s="39"/>
      <c r="I223" s="40" t="s">
        <v>202</v>
      </c>
      <c r="J223" s="45"/>
      <c r="K223" s="41">
        <f t="shared" si="31"/>
        <v>0</v>
      </c>
      <c r="L223" s="42">
        <f t="shared" si="28"/>
        <v>0</v>
      </c>
      <c r="M223" s="32" t="s">
        <v>203</v>
      </c>
      <c r="N223" s="17" t="str">
        <f t="shared" si="29"/>
        <v>0000</v>
      </c>
      <c r="O223" s="43" t="str">
        <f t="shared" si="33"/>
        <v>000000000</v>
      </c>
      <c r="P223" s="41" t="str">
        <f t="shared" si="30"/>
        <v>000000000</v>
      </c>
      <c r="Q223" s="44" t="s">
        <v>204</v>
      </c>
    </row>
    <row r="224" spans="1:17" x14ac:dyDescent="0.25">
      <c r="A224" s="36" t="str">
        <f t="shared" si="32"/>
        <v>10000000000201708110000000000000000028</v>
      </c>
      <c r="B224" s="37">
        <v>10</v>
      </c>
      <c r="C224" s="32" t="s">
        <v>200</v>
      </c>
      <c r="D224" s="46"/>
      <c r="E224" s="12" t="str">
        <f t="shared" si="26"/>
        <v>00</v>
      </c>
      <c r="F224" s="12" t="str">
        <f t="shared" si="27"/>
        <v>000000000</v>
      </c>
      <c r="G224" s="38">
        <v>201708</v>
      </c>
      <c r="H224" s="39"/>
      <c r="I224" s="40" t="s">
        <v>202</v>
      </c>
      <c r="J224" s="45"/>
      <c r="K224" s="41">
        <f t="shared" si="31"/>
        <v>0</v>
      </c>
      <c r="L224" s="42">
        <f t="shared" si="28"/>
        <v>0</v>
      </c>
      <c r="M224" s="32" t="s">
        <v>203</v>
      </c>
      <c r="N224" s="17" t="str">
        <f t="shared" si="29"/>
        <v>0000</v>
      </c>
      <c r="O224" s="43" t="str">
        <f t="shared" si="33"/>
        <v>000000000</v>
      </c>
      <c r="P224" s="41" t="str">
        <f t="shared" si="30"/>
        <v>000000000</v>
      </c>
      <c r="Q224" s="44" t="s">
        <v>204</v>
      </c>
    </row>
    <row r="225" spans="1:17" x14ac:dyDescent="0.25">
      <c r="A225" s="36" t="str">
        <f t="shared" si="32"/>
        <v>10000000000201708110000000000000000028</v>
      </c>
      <c r="B225" s="37">
        <v>10</v>
      </c>
      <c r="C225" s="32" t="s">
        <v>200</v>
      </c>
      <c r="D225" s="46"/>
      <c r="E225" s="12" t="str">
        <f t="shared" si="26"/>
        <v>00</v>
      </c>
      <c r="F225" s="12" t="str">
        <f t="shared" si="27"/>
        <v>000000000</v>
      </c>
      <c r="G225" s="38">
        <v>201708</v>
      </c>
      <c r="H225" s="39"/>
      <c r="I225" s="40" t="s">
        <v>202</v>
      </c>
      <c r="J225" s="45"/>
      <c r="K225" s="41">
        <f t="shared" si="31"/>
        <v>0</v>
      </c>
      <c r="L225" s="42">
        <f t="shared" si="28"/>
        <v>0</v>
      </c>
      <c r="M225" s="32" t="s">
        <v>203</v>
      </c>
      <c r="N225" s="17" t="str">
        <f t="shared" si="29"/>
        <v>0000</v>
      </c>
      <c r="O225" s="43" t="str">
        <f t="shared" si="33"/>
        <v>000000000</v>
      </c>
      <c r="P225" s="41" t="str">
        <f t="shared" si="30"/>
        <v>000000000</v>
      </c>
      <c r="Q225" s="44" t="s">
        <v>204</v>
      </c>
    </row>
    <row r="226" spans="1:17" x14ac:dyDescent="0.25">
      <c r="A226" s="36" t="str">
        <f t="shared" si="32"/>
        <v>10000000000201708110000000000000000028</v>
      </c>
      <c r="B226" s="37">
        <v>10</v>
      </c>
      <c r="C226" s="32" t="s">
        <v>200</v>
      </c>
      <c r="D226" s="46"/>
      <c r="E226" s="12" t="str">
        <f t="shared" si="26"/>
        <v>00</v>
      </c>
      <c r="F226" s="12" t="str">
        <f t="shared" si="27"/>
        <v>000000000</v>
      </c>
      <c r="G226" s="38">
        <v>201708</v>
      </c>
      <c r="H226" s="39"/>
      <c r="I226" s="40" t="s">
        <v>202</v>
      </c>
      <c r="J226" s="45"/>
      <c r="K226" s="41">
        <f t="shared" si="31"/>
        <v>0</v>
      </c>
      <c r="L226" s="42">
        <f t="shared" si="28"/>
        <v>0</v>
      </c>
      <c r="M226" s="32" t="s">
        <v>203</v>
      </c>
      <c r="N226" s="17" t="str">
        <f t="shared" si="29"/>
        <v>0000</v>
      </c>
      <c r="O226" s="43" t="str">
        <f t="shared" si="33"/>
        <v>000000000</v>
      </c>
      <c r="P226" s="41" t="str">
        <f t="shared" si="30"/>
        <v>000000000</v>
      </c>
      <c r="Q226" s="44" t="s">
        <v>204</v>
      </c>
    </row>
    <row r="227" spans="1:17" x14ac:dyDescent="0.25">
      <c r="A227" s="36" t="str">
        <f t="shared" si="32"/>
        <v>10000000000201708110000000000000000028</v>
      </c>
      <c r="B227" s="37">
        <v>10</v>
      </c>
      <c r="C227" s="32" t="s">
        <v>200</v>
      </c>
      <c r="D227" s="46"/>
      <c r="E227" s="12" t="str">
        <f t="shared" si="26"/>
        <v>00</v>
      </c>
      <c r="F227" s="12" t="str">
        <f t="shared" si="27"/>
        <v>000000000</v>
      </c>
      <c r="G227" s="38">
        <v>201708</v>
      </c>
      <c r="H227" s="39"/>
      <c r="I227" s="40" t="s">
        <v>202</v>
      </c>
      <c r="J227" s="45"/>
      <c r="K227" s="41">
        <f t="shared" si="31"/>
        <v>0</v>
      </c>
      <c r="L227" s="42">
        <f t="shared" si="28"/>
        <v>0</v>
      </c>
      <c r="M227" s="32" t="s">
        <v>203</v>
      </c>
      <c r="N227" s="17" t="str">
        <f t="shared" si="29"/>
        <v>0000</v>
      </c>
      <c r="O227" s="43" t="str">
        <f t="shared" si="33"/>
        <v>000000000</v>
      </c>
      <c r="P227" s="41" t="str">
        <f t="shared" si="30"/>
        <v>000000000</v>
      </c>
      <c r="Q227" s="44" t="s">
        <v>204</v>
      </c>
    </row>
    <row r="228" spans="1:17" x14ac:dyDescent="0.25">
      <c r="A228" s="36" t="str">
        <f t="shared" si="32"/>
        <v>10000000000201708110000000000000000028</v>
      </c>
      <c r="B228" s="37">
        <v>10</v>
      </c>
      <c r="C228" s="32" t="s">
        <v>200</v>
      </c>
      <c r="D228" s="46"/>
      <c r="E228" s="12" t="str">
        <f t="shared" si="26"/>
        <v>00</v>
      </c>
      <c r="F228" s="12" t="str">
        <f t="shared" si="27"/>
        <v>000000000</v>
      </c>
      <c r="G228" s="38">
        <v>201708</v>
      </c>
      <c r="H228" s="39"/>
      <c r="I228" s="40" t="s">
        <v>202</v>
      </c>
      <c r="J228" s="45"/>
      <c r="K228" s="41">
        <f t="shared" si="31"/>
        <v>0</v>
      </c>
      <c r="L228" s="42">
        <f t="shared" si="28"/>
        <v>0</v>
      </c>
      <c r="M228" s="32" t="s">
        <v>203</v>
      </c>
      <c r="N228" s="17" t="str">
        <f t="shared" si="29"/>
        <v>0000</v>
      </c>
      <c r="O228" s="43" t="str">
        <f t="shared" si="33"/>
        <v>000000000</v>
      </c>
      <c r="P228" s="41" t="str">
        <f t="shared" si="30"/>
        <v>000000000</v>
      </c>
      <c r="Q228" s="44" t="s">
        <v>204</v>
      </c>
    </row>
    <row r="229" spans="1:17" x14ac:dyDescent="0.25">
      <c r="A229" s="36" t="str">
        <f t="shared" si="32"/>
        <v>10000000000201708110000000000000000028</v>
      </c>
      <c r="B229" s="37">
        <v>10</v>
      </c>
      <c r="C229" s="32" t="s">
        <v>200</v>
      </c>
      <c r="D229" s="46"/>
      <c r="E229" s="12" t="str">
        <f t="shared" si="26"/>
        <v>00</v>
      </c>
      <c r="F229" s="12" t="str">
        <f t="shared" si="27"/>
        <v>000000000</v>
      </c>
      <c r="G229" s="38">
        <v>201708</v>
      </c>
      <c r="H229" s="39"/>
      <c r="I229" s="40" t="s">
        <v>202</v>
      </c>
      <c r="J229" s="45"/>
      <c r="K229" s="41">
        <f t="shared" si="31"/>
        <v>0</v>
      </c>
      <c r="L229" s="42">
        <f t="shared" si="28"/>
        <v>0</v>
      </c>
      <c r="M229" s="32" t="s">
        <v>203</v>
      </c>
      <c r="N229" s="17" t="str">
        <f t="shared" si="29"/>
        <v>0000</v>
      </c>
      <c r="O229" s="43" t="str">
        <f t="shared" si="33"/>
        <v>000000000</v>
      </c>
      <c r="P229" s="41" t="str">
        <f t="shared" si="30"/>
        <v>000000000</v>
      </c>
      <c r="Q229" s="44" t="s">
        <v>204</v>
      </c>
    </row>
    <row r="230" spans="1:17" x14ac:dyDescent="0.25">
      <c r="A230" s="36" t="str">
        <f t="shared" si="32"/>
        <v>10000000000201708110000000000000000028</v>
      </c>
      <c r="B230" s="37">
        <v>10</v>
      </c>
      <c r="C230" s="32" t="s">
        <v>200</v>
      </c>
      <c r="D230" s="46"/>
      <c r="E230" s="12" t="str">
        <f t="shared" si="26"/>
        <v>00</v>
      </c>
      <c r="F230" s="12" t="str">
        <f t="shared" si="27"/>
        <v>000000000</v>
      </c>
      <c r="G230" s="38">
        <v>201708</v>
      </c>
      <c r="H230" s="39"/>
      <c r="I230" s="40" t="s">
        <v>202</v>
      </c>
      <c r="J230" s="45"/>
      <c r="K230" s="41">
        <f t="shared" si="31"/>
        <v>0</v>
      </c>
      <c r="L230" s="42">
        <f t="shared" si="28"/>
        <v>0</v>
      </c>
      <c r="M230" s="32" t="s">
        <v>203</v>
      </c>
      <c r="N230" s="17" t="str">
        <f t="shared" si="29"/>
        <v>0000</v>
      </c>
      <c r="O230" s="43" t="str">
        <f t="shared" si="33"/>
        <v>000000000</v>
      </c>
      <c r="P230" s="41" t="str">
        <f t="shared" si="30"/>
        <v>000000000</v>
      </c>
      <c r="Q230" s="44" t="s">
        <v>204</v>
      </c>
    </row>
    <row r="231" spans="1:17" x14ac:dyDescent="0.25">
      <c r="A231" s="36" t="str">
        <f t="shared" si="32"/>
        <v>10000000000201708110000000000000000028</v>
      </c>
      <c r="B231" s="37">
        <v>10</v>
      </c>
      <c r="C231" s="32" t="s">
        <v>200</v>
      </c>
      <c r="D231" s="46"/>
      <c r="E231" s="12" t="str">
        <f t="shared" si="26"/>
        <v>00</v>
      </c>
      <c r="F231" s="12" t="str">
        <f t="shared" si="27"/>
        <v>000000000</v>
      </c>
      <c r="G231" s="38">
        <v>201708</v>
      </c>
      <c r="H231" s="39"/>
      <c r="I231" s="40" t="s">
        <v>202</v>
      </c>
      <c r="J231" s="45"/>
      <c r="K231" s="41">
        <f t="shared" si="31"/>
        <v>0</v>
      </c>
      <c r="L231" s="42">
        <f t="shared" si="28"/>
        <v>0</v>
      </c>
      <c r="M231" s="32" t="s">
        <v>203</v>
      </c>
      <c r="N231" s="17" t="str">
        <f t="shared" si="29"/>
        <v>0000</v>
      </c>
      <c r="O231" s="43" t="str">
        <f t="shared" si="33"/>
        <v>000000000</v>
      </c>
      <c r="P231" s="41" t="str">
        <f t="shared" si="30"/>
        <v>000000000</v>
      </c>
      <c r="Q231" s="44" t="s">
        <v>204</v>
      </c>
    </row>
    <row r="232" spans="1:17" x14ac:dyDescent="0.25">
      <c r="A232" s="36" t="str">
        <f t="shared" si="32"/>
        <v>10000000000201708110000000000000000028</v>
      </c>
      <c r="B232" s="37">
        <v>10</v>
      </c>
      <c r="C232" s="32" t="s">
        <v>200</v>
      </c>
      <c r="D232" s="46"/>
      <c r="E232" s="12" t="str">
        <f t="shared" si="26"/>
        <v>00</v>
      </c>
      <c r="F232" s="12" t="str">
        <f t="shared" si="27"/>
        <v>000000000</v>
      </c>
      <c r="G232" s="38">
        <v>201708</v>
      </c>
      <c r="H232" s="39"/>
      <c r="I232" s="40" t="s">
        <v>202</v>
      </c>
      <c r="J232" s="45"/>
      <c r="K232" s="41">
        <f t="shared" si="31"/>
        <v>0</v>
      </c>
      <c r="L232" s="42">
        <f t="shared" si="28"/>
        <v>0</v>
      </c>
      <c r="M232" s="32" t="s">
        <v>203</v>
      </c>
      <c r="N232" s="17" t="str">
        <f t="shared" si="29"/>
        <v>0000</v>
      </c>
      <c r="O232" s="43" t="str">
        <f t="shared" si="33"/>
        <v>000000000</v>
      </c>
      <c r="P232" s="41" t="str">
        <f t="shared" si="30"/>
        <v>000000000</v>
      </c>
      <c r="Q232" s="44" t="s">
        <v>204</v>
      </c>
    </row>
    <row r="233" spans="1:17" x14ac:dyDescent="0.25">
      <c r="A233" s="36" t="str">
        <f t="shared" si="32"/>
        <v>10000000000201708110000000000000000028</v>
      </c>
      <c r="B233" s="37">
        <v>10</v>
      </c>
      <c r="C233" s="32" t="s">
        <v>200</v>
      </c>
      <c r="D233" s="46"/>
      <c r="E233" s="12" t="str">
        <f t="shared" si="26"/>
        <v>00</v>
      </c>
      <c r="F233" s="12" t="str">
        <f t="shared" si="27"/>
        <v>000000000</v>
      </c>
      <c r="G233" s="38">
        <v>201708</v>
      </c>
      <c r="H233" s="39"/>
      <c r="I233" s="40" t="s">
        <v>202</v>
      </c>
      <c r="J233" s="45"/>
      <c r="K233" s="41">
        <f t="shared" si="31"/>
        <v>0</v>
      </c>
      <c r="L233" s="42">
        <f t="shared" si="28"/>
        <v>0</v>
      </c>
      <c r="M233" s="32" t="s">
        <v>203</v>
      </c>
      <c r="N233" s="17" t="str">
        <f t="shared" si="29"/>
        <v>0000</v>
      </c>
      <c r="O233" s="43" t="str">
        <f t="shared" si="33"/>
        <v>000000000</v>
      </c>
      <c r="P233" s="41" t="str">
        <f t="shared" si="30"/>
        <v>000000000</v>
      </c>
      <c r="Q233" s="44" t="s">
        <v>204</v>
      </c>
    </row>
    <row r="234" spans="1:17" x14ac:dyDescent="0.25">
      <c r="A234" s="36" t="str">
        <f t="shared" si="32"/>
        <v>10000000000201708110000000000000000028</v>
      </c>
      <c r="B234" s="37">
        <v>10</v>
      </c>
      <c r="C234" s="32" t="s">
        <v>200</v>
      </c>
      <c r="D234" s="46"/>
      <c r="E234" s="12" t="str">
        <f t="shared" si="26"/>
        <v>00</v>
      </c>
      <c r="F234" s="12" t="str">
        <f t="shared" si="27"/>
        <v>000000000</v>
      </c>
      <c r="G234" s="38">
        <v>201708</v>
      </c>
      <c r="H234" s="39"/>
      <c r="I234" s="40" t="s">
        <v>202</v>
      </c>
      <c r="J234" s="45"/>
      <c r="K234" s="41">
        <f t="shared" si="31"/>
        <v>0</v>
      </c>
      <c r="L234" s="42">
        <f t="shared" si="28"/>
        <v>0</v>
      </c>
      <c r="M234" s="32" t="s">
        <v>203</v>
      </c>
      <c r="N234" s="17" t="str">
        <f t="shared" si="29"/>
        <v>0000</v>
      </c>
      <c r="O234" s="43" t="str">
        <f t="shared" si="33"/>
        <v>000000000</v>
      </c>
      <c r="P234" s="41" t="str">
        <f t="shared" si="30"/>
        <v>000000000</v>
      </c>
      <c r="Q234" s="44" t="s">
        <v>204</v>
      </c>
    </row>
    <row r="235" spans="1:17" x14ac:dyDescent="0.25">
      <c r="A235" s="36" t="str">
        <f t="shared" si="32"/>
        <v>10000000000201708110000000000000000028</v>
      </c>
      <c r="B235" s="37">
        <v>10</v>
      </c>
      <c r="C235" s="32" t="s">
        <v>200</v>
      </c>
      <c r="D235" s="46"/>
      <c r="E235" s="12" t="str">
        <f t="shared" si="26"/>
        <v>00</v>
      </c>
      <c r="F235" s="12" t="str">
        <f t="shared" si="27"/>
        <v>000000000</v>
      </c>
      <c r="G235" s="38">
        <v>201708</v>
      </c>
      <c r="H235" s="39"/>
      <c r="I235" s="40" t="s">
        <v>202</v>
      </c>
      <c r="J235" s="45"/>
      <c r="K235" s="41">
        <f t="shared" si="31"/>
        <v>0</v>
      </c>
      <c r="L235" s="42">
        <f t="shared" si="28"/>
        <v>0</v>
      </c>
      <c r="M235" s="32" t="s">
        <v>203</v>
      </c>
      <c r="N235" s="17" t="str">
        <f t="shared" si="29"/>
        <v>0000</v>
      </c>
      <c r="O235" s="43" t="str">
        <f t="shared" si="33"/>
        <v>000000000</v>
      </c>
      <c r="P235" s="41" t="str">
        <f t="shared" si="30"/>
        <v>000000000</v>
      </c>
      <c r="Q235" s="44" t="s">
        <v>204</v>
      </c>
    </row>
    <row r="236" spans="1:17" x14ac:dyDescent="0.25">
      <c r="A236" s="36" t="str">
        <f t="shared" si="32"/>
        <v>10000000000201708110000000000000000028</v>
      </c>
      <c r="B236" s="37">
        <v>10</v>
      </c>
      <c r="C236" s="32" t="s">
        <v>200</v>
      </c>
      <c r="D236" s="46"/>
      <c r="E236" s="12" t="str">
        <f t="shared" si="26"/>
        <v>00</v>
      </c>
      <c r="F236" s="12" t="str">
        <f t="shared" si="27"/>
        <v>000000000</v>
      </c>
      <c r="G236" s="38">
        <v>201708</v>
      </c>
      <c r="H236" s="39"/>
      <c r="I236" s="40" t="s">
        <v>202</v>
      </c>
      <c r="J236" s="45"/>
      <c r="K236" s="41">
        <f t="shared" si="31"/>
        <v>0</v>
      </c>
      <c r="L236" s="42">
        <f t="shared" si="28"/>
        <v>0</v>
      </c>
      <c r="M236" s="32" t="s">
        <v>203</v>
      </c>
      <c r="N236" s="17" t="str">
        <f t="shared" si="29"/>
        <v>0000</v>
      </c>
      <c r="O236" s="43" t="str">
        <f t="shared" si="33"/>
        <v>000000000</v>
      </c>
      <c r="P236" s="41" t="str">
        <f t="shared" si="30"/>
        <v>000000000</v>
      </c>
      <c r="Q236" s="44" t="s">
        <v>204</v>
      </c>
    </row>
    <row r="237" spans="1:17" x14ac:dyDescent="0.25">
      <c r="A237" s="36" t="str">
        <f t="shared" si="32"/>
        <v>10000000000201708110000000000000000028</v>
      </c>
      <c r="B237" s="37">
        <v>10</v>
      </c>
      <c r="C237" s="32" t="s">
        <v>200</v>
      </c>
      <c r="D237" s="46"/>
      <c r="E237" s="12" t="str">
        <f t="shared" si="26"/>
        <v>00</v>
      </c>
      <c r="F237" s="12" t="str">
        <f t="shared" si="27"/>
        <v>000000000</v>
      </c>
      <c r="G237" s="38">
        <v>201708</v>
      </c>
      <c r="H237" s="39"/>
      <c r="I237" s="40" t="s">
        <v>202</v>
      </c>
      <c r="J237" s="45"/>
      <c r="K237" s="41">
        <f t="shared" si="31"/>
        <v>0</v>
      </c>
      <c r="L237" s="42">
        <f t="shared" si="28"/>
        <v>0</v>
      </c>
      <c r="M237" s="32" t="s">
        <v>203</v>
      </c>
      <c r="N237" s="17" t="str">
        <f t="shared" si="29"/>
        <v>0000</v>
      </c>
      <c r="O237" s="43" t="str">
        <f t="shared" si="33"/>
        <v>000000000</v>
      </c>
      <c r="P237" s="41" t="str">
        <f t="shared" si="30"/>
        <v>000000000</v>
      </c>
      <c r="Q237" s="44" t="s">
        <v>204</v>
      </c>
    </row>
    <row r="238" spans="1:17" x14ac:dyDescent="0.25">
      <c r="A238" s="36" t="str">
        <f t="shared" si="32"/>
        <v>10000000000201708110000000000000000028</v>
      </c>
      <c r="B238" s="37">
        <v>10</v>
      </c>
      <c r="C238" s="32" t="s">
        <v>200</v>
      </c>
      <c r="D238" s="46"/>
      <c r="E238" s="12" t="str">
        <f t="shared" si="26"/>
        <v>00</v>
      </c>
      <c r="F238" s="12" t="str">
        <f t="shared" si="27"/>
        <v>000000000</v>
      </c>
      <c r="G238" s="38">
        <v>201708</v>
      </c>
      <c r="H238" s="39"/>
      <c r="I238" s="40" t="s">
        <v>202</v>
      </c>
      <c r="J238" s="45"/>
      <c r="K238" s="41">
        <f t="shared" si="31"/>
        <v>0</v>
      </c>
      <c r="L238" s="42">
        <f t="shared" si="28"/>
        <v>0</v>
      </c>
      <c r="M238" s="32" t="s">
        <v>203</v>
      </c>
      <c r="N238" s="17" t="str">
        <f t="shared" si="29"/>
        <v>0000</v>
      </c>
      <c r="O238" s="43" t="str">
        <f t="shared" si="33"/>
        <v>000000000</v>
      </c>
      <c r="P238" s="41" t="str">
        <f t="shared" si="30"/>
        <v>000000000</v>
      </c>
      <c r="Q238" s="44" t="s">
        <v>204</v>
      </c>
    </row>
    <row r="239" spans="1:17" x14ac:dyDescent="0.25">
      <c r="A239" s="36" t="str">
        <f t="shared" si="32"/>
        <v>10000000000201708110000000000000000028</v>
      </c>
      <c r="B239" s="37">
        <v>10</v>
      </c>
      <c r="C239" s="32" t="s">
        <v>200</v>
      </c>
      <c r="D239" s="46"/>
      <c r="E239" s="12" t="str">
        <f t="shared" si="26"/>
        <v>00</v>
      </c>
      <c r="F239" s="12" t="str">
        <f t="shared" si="27"/>
        <v>000000000</v>
      </c>
      <c r="G239" s="38">
        <v>201708</v>
      </c>
      <c r="H239" s="39"/>
      <c r="I239" s="40" t="s">
        <v>202</v>
      </c>
      <c r="J239" s="45"/>
      <c r="K239" s="41">
        <f t="shared" si="31"/>
        <v>0</v>
      </c>
      <c r="L239" s="42">
        <f t="shared" si="28"/>
        <v>0</v>
      </c>
      <c r="M239" s="32" t="s">
        <v>203</v>
      </c>
      <c r="N239" s="17" t="str">
        <f t="shared" si="29"/>
        <v>0000</v>
      </c>
      <c r="O239" s="43" t="str">
        <f t="shared" si="33"/>
        <v>000000000</v>
      </c>
      <c r="P239" s="41" t="str">
        <f t="shared" si="30"/>
        <v>000000000</v>
      </c>
      <c r="Q239" s="44" t="s">
        <v>204</v>
      </c>
    </row>
    <row r="240" spans="1:17" x14ac:dyDescent="0.25">
      <c r="A240" s="36" t="str">
        <f t="shared" si="32"/>
        <v>10000000000201708110000000000000000028</v>
      </c>
      <c r="B240" s="37">
        <v>10</v>
      </c>
      <c r="C240" s="32" t="s">
        <v>200</v>
      </c>
      <c r="D240" s="46"/>
      <c r="E240" s="12" t="str">
        <f t="shared" si="26"/>
        <v>00</v>
      </c>
      <c r="F240" s="12" t="str">
        <f t="shared" si="27"/>
        <v>000000000</v>
      </c>
      <c r="G240" s="38">
        <v>201708</v>
      </c>
      <c r="H240" s="39"/>
      <c r="I240" s="40" t="s">
        <v>202</v>
      </c>
      <c r="J240" s="45"/>
      <c r="K240" s="41">
        <f t="shared" si="31"/>
        <v>0</v>
      </c>
      <c r="L240" s="42">
        <f t="shared" si="28"/>
        <v>0</v>
      </c>
      <c r="M240" s="32" t="s">
        <v>203</v>
      </c>
      <c r="N240" s="17" t="str">
        <f t="shared" si="29"/>
        <v>0000</v>
      </c>
      <c r="O240" s="43" t="str">
        <f t="shared" si="33"/>
        <v>000000000</v>
      </c>
      <c r="P240" s="41" t="str">
        <f t="shared" si="30"/>
        <v>000000000</v>
      </c>
      <c r="Q240" s="44" t="s">
        <v>204</v>
      </c>
    </row>
    <row r="241" spans="1:17" x14ac:dyDescent="0.25">
      <c r="A241" s="36" t="str">
        <f t="shared" si="32"/>
        <v>10000000000201708110000000000000000028</v>
      </c>
      <c r="B241" s="37">
        <v>10</v>
      </c>
      <c r="C241" s="32" t="s">
        <v>200</v>
      </c>
      <c r="D241" s="46"/>
      <c r="E241" s="12" t="str">
        <f t="shared" si="26"/>
        <v>00</v>
      </c>
      <c r="F241" s="12" t="str">
        <f t="shared" si="27"/>
        <v>000000000</v>
      </c>
      <c r="G241" s="38">
        <v>201708</v>
      </c>
      <c r="H241" s="39"/>
      <c r="I241" s="40" t="s">
        <v>202</v>
      </c>
      <c r="J241" s="45"/>
      <c r="K241" s="41">
        <f t="shared" si="31"/>
        <v>0</v>
      </c>
      <c r="L241" s="42">
        <f t="shared" si="28"/>
        <v>0</v>
      </c>
      <c r="M241" s="32" t="s">
        <v>203</v>
      </c>
      <c r="N241" s="17" t="str">
        <f t="shared" si="29"/>
        <v>0000</v>
      </c>
      <c r="O241" s="43" t="str">
        <f t="shared" si="33"/>
        <v>000000000</v>
      </c>
      <c r="P241" s="41" t="str">
        <f t="shared" si="30"/>
        <v>000000000</v>
      </c>
      <c r="Q241" s="44" t="s">
        <v>204</v>
      </c>
    </row>
    <row r="242" spans="1:17" x14ac:dyDescent="0.25">
      <c r="A242" s="36" t="str">
        <f t="shared" si="32"/>
        <v>10000000000201708110000000000000000028</v>
      </c>
      <c r="B242" s="37">
        <v>10</v>
      </c>
      <c r="C242" s="32" t="s">
        <v>200</v>
      </c>
      <c r="D242" s="46"/>
      <c r="E242" s="12" t="str">
        <f t="shared" si="26"/>
        <v>00</v>
      </c>
      <c r="F242" s="12" t="str">
        <f t="shared" si="27"/>
        <v>000000000</v>
      </c>
      <c r="G242" s="38">
        <v>201708</v>
      </c>
      <c r="H242" s="39"/>
      <c r="I242" s="40" t="s">
        <v>202</v>
      </c>
      <c r="J242" s="45"/>
      <c r="K242" s="41">
        <f t="shared" si="31"/>
        <v>0</v>
      </c>
      <c r="L242" s="42">
        <f t="shared" si="28"/>
        <v>0</v>
      </c>
      <c r="M242" s="32" t="s">
        <v>203</v>
      </c>
      <c r="N242" s="17" t="str">
        <f t="shared" si="29"/>
        <v>0000</v>
      </c>
      <c r="O242" s="43" t="str">
        <f t="shared" si="33"/>
        <v>000000000</v>
      </c>
      <c r="P242" s="41" t="str">
        <f t="shared" si="30"/>
        <v>000000000</v>
      </c>
      <c r="Q242" s="44" t="s">
        <v>204</v>
      </c>
    </row>
    <row r="243" spans="1:17" x14ac:dyDescent="0.25">
      <c r="A243" s="36" t="str">
        <f t="shared" si="32"/>
        <v>10000000000201708110000000000000000028</v>
      </c>
      <c r="B243" s="37">
        <v>10</v>
      </c>
      <c r="C243" s="32" t="s">
        <v>200</v>
      </c>
      <c r="D243" s="46"/>
      <c r="E243" s="12" t="str">
        <f t="shared" si="26"/>
        <v>00</v>
      </c>
      <c r="F243" s="12" t="str">
        <f t="shared" si="27"/>
        <v>000000000</v>
      </c>
      <c r="G243" s="38">
        <v>201708</v>
      </c>
      <c r="H243" s="39"/>
      <c r="I243" s="40" t="s">
        <v>202</v>
      </c>
      <c r="J243" s="45"/>
      <c r="K243" s="41">
        <f t="shared" si="31"/>
        <v>0</v>
      </c>
      <c r="L243" s="42">
        <f t="shared" si="28"/>
        <v>0</v>
      </c>
      <c r="M243" s="32" t="s">
        <v>203</v>
      </c>
      <c r="N243" s="17" t="str">
        <f t="shared" si="29"/>
        <v>0000</v>
      </c>
      <c r="O243" s="43" t="str">
        <f t="shared" si="33"/>
        <v>000000000</v>
      </c>
      <c r="P243" s="41" t="str">
        <f t="shared" si="30"/>
        <v>000000000</v>
      </c>
      <c r="Q243" s="44" t="s">
        <v>204</v>
      </c>
    </row>
    <row r="244" spans="1:17" x14ac:dyDescent="0.25">
      <c r="A244" s="36" t="str">
        <f t="shared" si="32"/>
        <v>10000000000201708110000000000000000028</v>
      </c>
      <c r="B244" s="37">
        <v>10</v>
      </c>
      <c r="C244" s="32" t="s">
        <v>200</v>
      </c>
      <c r="D244" s="46"/>
      <c r="E244" s="12" t="str">
        <f t="shared" si="26"/>
        <v>00</v>
      </c>
      <c r="F244" s="12" t="str">
        <f t="shared" si="27"/>
        <v>000000000</v>
      </c>
      <c r="G244" s="38">
        <v>201708</v>
      </c>
      <c r="H244" s="39"/>
      <c r="I244" s="40" t="s">
        <v>202</v>
      </c>
      <c r="J244" s="45"/>
      <c r="K244" s="41">
        <f t="shared" si="31"/>
        <v>0</v>
      </c>
      <c r="L244" s="42">
        <f t="shared" si="28"/>
        <v>0</v>
      </c>
      <c r="M244" s="32" t="s">
        <v>203</v>
      </c>
      <c r="N244" s="17" t="str">
        <f t="shared" si="29"/>
        <v>0000</v>
      </c>
      <c r="O244" s="43" t="str">
        <f t="shared" si="33"/>
        <v>000000000</v>
      </c>
      <c r="P244" s="41" t="str">
        <f t="shared" si="30"/>
        <v>000000000</v>
      </c>
      <c r="Q244" s="44" t="s">
        <v>204</v>
      </c>
    </row>
    <row r="245" spans="1:17" x14ac:dyDescent="0.25">
      <c r="A245" s="36" t="str">
        <f t="shared" si="32"/>
        <v>10000000000201708110000000000000000028</v>
      </c>
      <c r="B245" s="37">
        <v>10</v>
      </c>
      <c r="C245" s="32" t="s">
        <v>200</v>
      </c>
      <c r="D245" s="46"/>
      <c r="E245" s="12" t="str">
        <f t="shared" si="26"/>
        <v>00</v>
      </c>
      <c r="F245" s="12" t="str">
        <f t="shared" si="27"/>
        <v>000000000</v>
      </c>
      <c r="G245" s="38">
        <v>201708</v>
      </c>
      <c r="H245" s="39"/>
      <c r="I245" s="40" t="s">
        <v>202</v>
      </c>
      <c r="J245" s="45"/>
      <c r="K245" s="41">
        <f t="shared" si="31"/>
        <v>0</v>
      </c>
      <c r="L245" s="42">
        <f t="shared" si="28"/>
        <v>0</v>
      </c>
      <c r="M245" s="32" t="s">
        <v>203</v>
      </c>
      <c r="N245" s="17" t="str">
        <f t="shared" si="29"/>
        <v>0000</v>
      </c>
      <c r="O245" s="43" t="str">
        <f t="shared" si="33"/>
        <v>000000000</v>
      </c>
      <c r="P245" s="41" t="str">
        <f t="shared" si="30"/>
        <v>000000000</v>
      </c>
      <c r="Q245" s="44" t="s">
        <v>204</v>
      </c>
    </row>
    <row r="246" spans="1:17" x14ac:dyDescent="0.25">
      <c r="A246" s="36" t="str">
        <f t="shared" si="32"/>
        <v>10000000000201708110000000000000000028</v>
      </c>
      <c r="B246" s="37">
        <v>10</v>
      </c>
      <c r="C246" s="32" t="s">
        <v>200</v>
      </c>
      <c r="D246" s="46"/>
      <c r="E246" s="12" t="str">
        <f t="shared" si="26"/>
        <v>00</v>
      </c>
      <c r="F246" s="12" t="str">
        <f t="shared" si="27"/>
        <v>000000000</v>
      </c>
      <c r="G246" s="38">
        <v>201708</v>
      </c>
      <c r="H246" s="39"/>
      <c r="I246" s="40" t="s">
        <v>202</v>
      </c>
      <c r="J246" s="45"/>
      <c r="K246" s="41">
        <f t="shared" si="31"/>
        <v>0</v>
      </c>
      <c r="L246" s="42">
        <f t="shared" si="28"/>
        <v>0</v>
      </c>
      <c r="M246" s="32" t="s">
        <v>203</v>
      </c>
      <c r="N246" s="17" t="str">
        <f t="shared" si="29"/>
        <v>0000</v>
      </c>
      <c r="O246" s="43" t="str">
        <f t="shared" si="33"/>
        <v>000000000</v>
      </c>
      <c r="P246" s="41" t="str">
        <f t="shared" si="30"/>
        <v>000000000</v>
      </c>
      <c r="Q246" s="44" t="s">
        <v>204</v>
      </c>
    </row>
    <row r="247" spans="1:17" x14ac:dyDescent="0.25">
      <c r="A247" s="36" t="str">
        <f t="shared" si="32"/>
        <v>10000000000201708110000000000000000028</v>
      </c>
      <c r="B247" s="37">
        <v>10</v>
      </c>
      <c r="C247" s="32" t="s">
        <v>200</v>
      </c>
      <c r="D247" s="46"/>
      <c r="E247" s="12" t="str">
        <f t="shared" si="26"/>
        <v>00</v>
      </c>
      <c r="F247" s="12" t="str">
        <f t="shared" si="27"/>
        <v>000000000</v>
      </c>
      <c r="G247" s="38">
        <v>201708</v>
      </c>
      <c r="H247" s="39"/>
      <c r="I247" s="40" t="s">
        <v>202</v>
      </c>
      <c r="J247" s="45"/>
      <c r="K247" s="41">
        <f t="shared" si="31"/>
        <v>0</v>
      </c>
      <c r="L247" s="42">
        <f t="shared" si="28"/>
        <v>0</v>
      </c>
      <c r="M247" s="32" t="s">
        <v>203</v>
      </c>
      <c r="N247" s="17" t="str">
        <f t="shared" si="29"/>
        <v>0000</v>
      </c>
      <c r="O247" s="43" t="str">
        <f t="shared" si="33"/>
        <v>000000000</v>
      </c>
      <c r="P247" s="41" t="str">
        <f t="shared" si="30"/>
        <v>000000000</v>
      </c>
      <c r="Q247" s="44" t="s">
        <v>204</v>
      </c>
    </row>
    <row r="248" spans="1:17" x14ac:dyDescent="0.25">
      <c r="A248" s="36" t="str">
        <f t="shared" si="32"/>
        <v>10000000000201708110000000000000000028</v>
      </c>
      <c r="B248" s="37">
        <v>10</v>
      </c>
      <c r="C248" s="32" t="s">
        <v>200</v>
      </c>
      <c r="D248" s="46"/>
      <c r="E248" s="12" t="str">
        <f t="shared" si="26"/>
        <v>00</v>
      </c>
      <c r="F248" s="12" t="str">
        <f t="shared" si="27"/>
        <v>000000000</v>
      </c>
      <c r="G248" s="38">
        <v>201708</v>
      </c>
      <c r="H248" s="39"/>
      <c r="I248" s="40" t="s">
        <v>202</v>
      </c>
      <c r="J248" s="45"/>
      <c r="K248" s="41">
        <f t="shared" si="31"/>
        <v>0</v>
      </c>
      <c r="L248" s="42">
        <f t="shared" si="28"/>
        <v>0</v>
      </c>
      <c r="M248" s="32" t="s">
        <v>203</v>
      </c>
      <c r="N248" s="17" t="str">
        <f t="shared" si="29"/>
        <v>0000</v>
      </c>
      <c r="O248" s="43" t="str">
        <f t="shared" si="33"/>
        <v>000000000</v>
      </c>
      <c r="P248" s="41" t="str">
        <f t="shared" si="30"/>
        <v>000000000</v>
      </c>
      <c r="Q248" s="44" t="s">
        <v>204</v>
      </c>
    </row>
    <row r="249" spans="1:17" x14ac:dyDescent="0.25">
      <c r="A249" s="36" t="str">
        <f t="shared" si="32"/>
        <v>10000000000201708110000000000000000028</v>
      </c>
      <c r="B249" s="37">
        <v>10</v>
      </c>
      <c r="C249" s="32" t="s">
        <v>200</v>
      </c>
      <c r="D249" s="46"/>
      <c r="E249" s="12" t="str">
        <f t="shared" si="26"/>
        <v>00</v>
      </c>
      <c r="F249" s="12" t="str">
        <f t="shared" si="27"/>
        <v>000000000</v>
      </c>
      <c r="G249" s="38">
        <v>201708</v>
      </c>
      <c r="H249" s="39"/>
      <c r="I249" s="40" t="s">
        <v>202</v>
      </c>
      <c r="J249" s="45"/>
      <c r="K249" s="41">
        <f t="shared" si="31"/>
        <v>0</v>
      </c>
      <c r="L249" s="42">
        <f t="shared" si="28"/>
        <v>0</v>
      </c>
      <c r="M249" s="32" t="s">
        <v>203</v>
      </c>
      <c r="N249" s="17" t="str">
        <f t="shared" si="29"/>
        <v>0000</v>
      </c>
      <c r="O249" s="43" t="str">
        <f t="shared" si="33"/>
        <v>000000000</v>
      </c>
      <c r="P249" s="41" t="str">
        <f t="shared" si="30"/>
        <v>000000000</v>
      </c>
      <c r="Q249" s="44" t="s">
        <v>204</v>
      </c>
    </row>
    <row r="250" spans="1:17" x14ac:dyDescent="0.25">
      <c r="A250" s="36" t="str">
        <f t="shared" si="32"/>
        <v>10000000000201708110000000000000000028</v>
      </c>
      <c r="B250" s="37">
        <v>10</v>
      </c>
      <c r="C250" s="32" t="s">
        <v>200</v>
      </c>
      <c r="D250" s="46"/>
      <c r="E250" s="12" t="str">
        <f t="shared" si="26"/>
        <v>00</v>
      </c>
      <c r="F250" s="12" t="str">
        <f t="shared" si="27"/>
        <v>000000000</v>
      </c>
      <c r="G250" s="38">
        <v>201708</v>
      </c>
      <c r="H250" s="39"/>
      <c r="I250" s="40" t="s">
        <v>202</v>
      </c>
      <c r="J250" s="45"/>
      <c r="K250" s="41">
        <f t="shared" si="31"/>
        <v>0</v>
      </c>
      <c r="L250" s="42">
        <f t="shared" si="28"/>
        <v>0</v>
      </c>
      <c r="M250" s="32" t="s">
        <v>203</v>
      </c>
      <c r="N250" s="17" t="str">
        <f t="shared" si="29"/>
        <v>0000</v>
      </c>
      <c r="O250" s="43" t="str">
        <f t="shared" si="33"/>
        <v>000000000</v>
      </c>
      <c r="P250" s="41" t="str">
        <f t="shared" si="30"/>
        <v>000000000</v>
      </c>
      <c r="Q250" s="44" t="s">
        <v>204</v>
      </c>
    </row>
    <row r="251" spans="1:17" x14ac:dyDescent="0.25">
      <c r="A251" s="36" t="str">
        <f t="shared" si="32"/>
        <v>10000000000201708110000000000000000028</v>
      </c>
      <c r="B251" s="37">
        <v>10</v>
      </c>
      <c r="C251" s="32" t="s">
        <v>200</v>
      </c>
      <c r="D251" s="46"/>
      <c r="E251" s="12" t="str">
        <f t="shared" si="26"/>
        <v>00</v>
      </c>
      <c r="F251" s="12" t="str">
        <f t="shared" si="27"/>
        <v>000000000</v>
      </c>
      <c r="G251" s="38">
        <v>201708</v>
      </c>
      <c r="H251" s="39"/>
      <c r="I251" s="40" t="s">
        <v>202</v>
      </c>
      <c r="J251" s="45"/>
      <c r="K251" s="41">
        <f t="shared" si="31"/>
        <v>0</v>
      </c>
      <c r="L251" s="42">
        <f t="shared" si="28"/>
        <v>0</v>
      </c>
      <c r="M251" s="32" t="s">
        <v>203</v>
      </c>
      <c r="N251" s="17" t="str">
        <f t="shared" si="29"/>
        <v>0000</v>
      </c>
      <c r="O251" s="43" t="str">
        <f t="shared" si="33"/>
        <v>000000000</v>
      </c>
      <c r="P251" s="41" t="str">
        <f t="shared" si="30"/>
        <v>000000000</v>
      </c>
      <c r="Q251" s="44" t="s">
        <v>204</v>
      </c>
    </row>
    <row r="252" spans="1:17" x14ac:dyDescent="0.25">
      <c r="A252" s="36" t="str">
        <f t="shared" si="32"/>
        <v>10000000000201708110000000000000000028</v>
      </c>
      <c r="B252" s="37">
        <v>10</v>
      </c>
      <c r="C252" s="32" t="s">
        <v>200</v>
      </c>
      <c r="D252" s="46"/>
      <c r="E252" s="12" t="str">
        <f t="shared" si="26"/>
        <v>00</v>
      </c>
      <c r="F252" s="12" t="str">
        <f t="shared" si="27"/>
        <v>000000000</v>
      </c>
      <c r="G252" s="38">
        <v>201708</v>
      </c>
      <c r="H252" s="39"/>
      <c r="I252" s="40" t="s">
        <v>202</v>
      </c>
      <c r="J252" s="45"/>
      <c r="K252" s="41">
        <f t="shared" si="31"/>
        <v>0</v>
      </c>
      <c r="L252" s="42">
        <f t="shared" si="28"/>
        <v>0</v>
      </c>
      <c r="M252" s="32" t="s">
        <v>203</v>
      </c>
      <c r="N252" s="17" t="str">
        <f t="shared" si="29"/>
        <v>0000</v>
      </c>
      <c r="O252" s="43" t="str">
        <f t="shared" si="33"/>
        <v>000000000</v>
      </c>
      <c r="P252" s="41" t="str">
        <f t="shared" si="30"/>
        <v>000000000</v>
      </c>
      <c r="Q252" s="44" t="s">
        <v>204</v>
      </c>
    </row>
    <row r="253" spans="1:17" x14ac:dyDescent="0.25">
      <c r="A253" s="36" t="str">
        <f t="shared" si="32"/>
        <v>10000000000201708110000000000000000028</v>
      </c>
      <c r="B253" s="37">
        <v>10</v>
      </c>
      <c r="C253" s="32" t="s">
        <v>200</v>
      </c>
      <c r="D253" s="46"/>
      <c r="E253" s="12" t="str">
        <f t="shared" si="26"/>
        <v>00</v>
      </c>
      <c r="F253" s="12" t="str">
        <f t="shared" si="27"/>
        <v>000000000</v>
      </c>
      <c r="G253" s="38">
        <v>201708</v>
      </c>
      <c r="H253" s="39"/>
      <c r="I253" s="40" t="s">
        <v>202</v>
      </c>
      <c r="J253" s="45"/>
      <c r="K253" s="41">
        <f t="shared" si="31"/>
        <v>0</v>
      </c>
      <c r="L253" s="42">
        <f t="shared" si="28"/>
        <v>0</v>
      </c>
      <c r="M253" s="32" t="s">
        <v>203</v>
      </c>
      <c r="N253" s="17" t="str">
        <f t="shared" si="29"/>
        <v>0000</v>
      </c>
      <c r="O253" s="43" t="str">
        <f t="shared" si="33"/>
        <v>000000000</v>
      </c>
      <c r="P253" s="41" t="str">
        <f t="shared" si="30"/>
        <v>000000000</v>
      </c>
      <c r="Q253" s="44" t="s">
        <v>204</v>
      </c>
    </row>
    <row r="254" spans="1:17" x14ac:dyDescent="0.25">
      <c r="A254" s="36" t="str">
        <f t="shared" si="32"/>
        <v>10000000000201708110000000000000000028</v>
      </c>
      <c r="B254" s="37">
        <v>10</v>
      </c>
      <c r="C254" s="32" t="s">
        <v>200</v>
      </c>
      <c r="D254" s="46"/>
      <c r="E254" s="12" t="str">
        <f t="shared" si="26"/>
        <v>00</v>
      </c>
      <c r="F254" s="12" t="str">
        <f t="shared" si="27"/>
        <v>000000000</v>
      </c>
      <c r="G254" s="38">
        <v>201708</v>
      </c>
      <c r="H254" s="39"/>
      <c r="I254" s="40" t="s">
        <v>202</v>
      </c>
      <c r="J254" s="45"/>
      <c r="K254" s="41">
        <f t="shared" si="31"/>
        <v>0</v>
      </c>
      <c r="L254" s="42">
        <f t="shared" si="28"/>
        <v>0</v>
      </c>
      <c r="M254" s="32" t="s">
        <v>203</v>
      </c>
      <c r="N254" s="17" t="str">
        <f t="shared" si="29"/>
        <v>0000</v>
      </c>
      <c r="O254" s="43" t="str">
        <f t="shared" si="33"/>
        <v>000000000</v>
      </c>
      <c r="P254" s="41" t="str">
        <f t="shared" si="30"/>
        <v>000000000</v>
      </c>
      <c r="Q254" s="44" t="s">
        <v>204</v>
      </c>
    </row>
    <row r="255" spans="1:17" x14ac:dyDescent="0.25">
      <c r="A255" s="36" t="str">
        <f t="shared" si="32"/>
        <v>10000000000201708110000000000000000028</v>
      </c>
      <c r="B255" s="37">
        <v>10</v>
      </c>
      <c r="C255" s="32" t="s">
        <v>200</v>
      </c>
      <c r="E255" s="17" t="str">
        <f t="shared" si="26"/>
        <v>00</v>
      </c>
      <c r="F255" s="17" t="str">
        <f t="shared" si="27"/>
        <v>000000000</v>
      </c>
      <c r="G255" s="38">
        <v>201708</v>
      </c>
      <c r="I255" s="47" t="s">
        <v>202</v>
      </c>
      <c r="K255" s="41">
        <f t="shared" si="31"/>
        <v>0</v>
      </c>
      <c r="L255" s="42">
        <f t="shared" si="28"/>
        <v>0</v>
      </c>
      <c r="M255" s="32" t="s">
        <v>203</v>
      </c>
      <c r="N255" s="17" t="str">
        <f t="shared" si="29"/>
        <v>0000</v>
      </c>
      <c r="O255" s="43" t="str">
        <f t="shared" si="33"/>
        <v>000000000</v>
      </c>
      <c r="P255" s="41" t="str">
        <f t="shared" si="30"/>
        <v>000000000</v>
      </c>
      <c r="Q255" s="44" t="s">
        <v>204</v>
      </c>
    </row>
    <row r="256" spans="1:17" x14ac:dyDescent="0.25">
      <c r="A256" s="36" t="str">
        <f t="shared" si="32"/>
        <v>10000000000201708110000000000000000028</v>
      </c>
      <c r="B256" s="37">
        <v>10</v>
      </c>
      <c r="C256" s="32" t="s">
        <v>200</v>
      </c>
      <c r="E256" s="17" t="str">
        <f t="shared" si="26"/>
        <v>00</v>
      </c>
      <c r="F256" s="17" t="str">
        <f t="shared" si="27"/>
        <v>000000000</v>
      </c>
      <c r="G256" s="38">
        <v>201708</v>
      </c>
      <c r="I256" s="47" t="s">
        <v>202</v>
      </c>
      <c r="K256" s="41">
        <f t="shared" si="31"/>
        <v>0</v>
      </c>
      <c r="L256" s="42">
        <f t="shared" si="28"/>
        <v>0</v>
      </c>
      <c r="M256" s="32" t="s">
        <v>203</v>
      </c>
      <c r="N256" s="17" t="str">
        <f t="shared" si="29"/>
        <v>0000</v>
      </c>
      <c r="O256" s="43" t="str">
        <f t="shared" si="33"/>
        <v>000000000</v>
      </c>
      <c r="P256" s="41" t="str">
        <f t="shared" si="30"/>
        <v>000000000</v>
      </c>
      <c r="Q256" s="44" t="s">
        <v>204</v>
      </c>
    </row>
    <row r="257" spans="1:17" x14ac:dyDescent="0.25">
      <c r="A257" s="36" t="str">
        <f t="shared" si="32"/>
        <v>10000000000201708110000000000000000028</v>
      </c>
      <c r="B257" s="37">
        <v>10</v>
      </c>
      <c r="C257" s="32" t="s">
        <v>200</v>
      </c>
      <c r="E257" s="17" t="str">
        <f t="shared" si="26"/>
        <v>00</v>
      </c>
      <c r="F257" s="17" t="str">
        <f t="shared" si="27"/>
        <v>000000000</v>
      </c>
      <c r="G257" s="38">
        <v>201708</v>
      </c>
      <c r="I257" s="47" t="s">
        <v>202</v>
      </c>
      <c r="K257" s="41">
        <f t="shared" si="31"/>
        <v>0</v>
      </c>
      <c r="L257" s="42">
        <f t="shared" si="28"/>
        <v>0</v>
      </c>
      <c r="M257" s="32" t="s">
        <v>203</v>
      </c>
      <c r="N257" s="17" t="str">
        <f t="shared" si="29"/>
        <v>0000</v>
      </c>
      <c r="O257" s="43" t="str">
        <f t="shared" si="33"/>
        <v>000000000</v>
      </c>
      <c r="P257" s="41" t="str">
        <f t="shared" si="30"/>
        <v>000000000</v>
      </c>
      <c r="Q257" s="44" t="s">
        <v>204</v>
      </c>
    </row>
    <row r="258" spans="1:17" x14ac:dyDescent="0.25">
      <c r="A258" s="36" t="str">
        <f t="shared" si="32"/>
        <v>10000000000201708110000000000000000028</v>
      </c>
      <c r="B258" s="37">
        <v>10</v>
      </c>
      <c r="C258" s="32" t="s">
        <v>200</v>
      </c>
      <c r="E258" s="17" t="str">
        <f t="shared" si="26"/>
        <v>00</v>
      </c>
      <c r="F258" s="17" t="str">
        <f t="shared" si="27"/>
        <v>000000000</v>
      </c>
      <c r="G258" s="38">
        <v>201708</v>
      </c>
      <c r="I258" s="47" t="s">
        <v>202</v>
      </c>
      <c r="K258" s="41">
        <f t="shared" si="31"/>
        <v>0</v>
      </c>
      <c r="L258" s="42">
        <f t="shared" si="28"/>
        <v>0</v>
      </c>
      <c r="M258" s="32" t="s">
        <v>203</v>
      </c>
      <c r="N258" s="17" t="str">
        <f t="shared" si="29"/>
        <v>0000</v>
      </c>
      <c r="O258" s="43" t="str">
        <f t="shared" si="33"/>
        <v>000000000</v>
      </c>
      <c r="P258" s="41" t="str">
        <f t="shared" si="30"/>
        <v>000000000</v>
      </c>
      <c r="Q258" s="44" t="s">
        <v>204</v>
      </c>
    </row>
    <row r="259" spans="1:17" x14ac:dyDescent="0.25">
      <c r="A259" s="36" t="str">
        <f t="shared" si="32"/>
        <v>10000000000201708110000000000000000028</v>
      </c>
      <c r="B259" s="37">
        <v>10</v>
      </c>
      <c r="C259" s="32" t="s">
        <v>200</v>
      </c>
      <c r="E259" s="17" t="str">
        <f t="shared" si="26"/>
        <v>00</v>
      </c>
      <c r="F259" s="17" t="str">
        <f t="shared" si="27"/>
        <v>000000000</v>
      </c>
      <c r="G259" s="38">
        <v>201708</v>
      </c>
      <c r="I259" s="47" t="s">
        <v>202</v>
      </c>
      <c r="K259" s="41">
        <f t="shared" si="31"/>
        <v>0</v>
      </c>
      <c r="L259" s="42">
        <f t="shared" si="28"/>
        <v>0</v>
      </c>
      <c r="M259" s="32" t="s">
        <v>203</v>
      </c>
      <c r="N259" s="17" t="str">
        <f t="shared" si="29"/>
        <v>0000</v>
      </c>
      <c r="O259" s="43" t="str">
        <f t="shared" si="33"/>
        <v>000000000</v>
      </c>
      <c r="P259" s="41" t="str">
        <f t="shared" si="30"/>
        <v>000000000</v>
      </c>
      <c r="Q259" s="44" t="s">
        <v>204</v>
      </c>
    </row>
    <row r="260" spans="1:17" x14ac:dyDescent="0.25">
      <c r="A260" s="36" t="str">
        <f t="shared" si="32"/>
        <v>10000000000201708110000000000000000028</v>
      </c>
      <c r="B260" s="37">
        <v>10</v>
      </c>
      <c r="C260" s="32" t="s">
        <v>200</v>
      </c>
      <c r="E260" s="17" t="str">
        <f t="shared" si="26"/>
        <v>00</v>
      </c>
      <c r="F260" s="17" t="str">
        <f t="shared" si="27"/>
        <v>000000000</v>
      </c>
      <c r="G260" s="38">
        <v>201708</v>
      </c>
      <c r="I260" s="47" t="s">
        <v>202</v>
      </c>
      <c r="K260" s="41">
        <f t="shared" si="31"/>
        <v>0</v>
      </c>
      <c r="L260" s="42">
        <f t="shared" si="28"/>
        <v>0</v>
      </c>
      <c r="M260" s="32" t="s">
        <v>203</v>
      </c>
      <c r="N260" s="17" t="str">
        <f t="shared" si="29"/>
        <v>0000</v>
      </c>
      <c r="O260" s="43" t="str">
        <f t="shared" si="33"/>
        <v>000000000</v>
      </c>
      <c r="P260" s="41" t="str">
        <f t="shared" si="30"/>
        <v>000000000</v>
      </c>
      <c r="Q260" s="44" t="s">
        <v>204</v>
      </c>
    </row>
    <row r="261" spans="1:17" x14ac:dyDescent="0.25">
      <c r="A261" s="36" t="str">
        <f t="shared" si="32"/>
        <v>10000000000201708110000000000000000028</v>
      </c>
      <c r="B261" s="37">
        <v>10</v>
      </c>
      <c r="C261" s="32" t="s">
        <v>200</v>
      </c>
      <c r="E261" s="17" t="str">
        <f t="shared" ref="E261:E300" si="34">IF(D261&gt;9,"0",IF(D261&lt;10,"00",0))</f>
        <v>00</v>
      </c>
      <c r="F261" s="17" t="str">
        <f t="shared" si="27"/>
        <v>000000000</v>
      </c>
      <c r="G261" s="38">
        <v>201708</v>
      </c>
      <c r="I261" s="47" t="s">
        <v>202</v>
      </c>
      <c r="K261" s="41">
        <f t="shared" si="31"/>
        <v>0</v>
      </c>
      <c r="L261" s="42">
        <f t="shared" si="28"/>
        <v>0</v>
      </c>
      <c r="M261" s="32" t="s">
        <v>203</v>
      </c>
      <c r="N261" s="17" t="str">
        <f t="shared" si="29"/>
        <v>0000</v>
      </c>
      <c r="O261" s="43" t="str">
        <f t="shared" si="33"/>
        <v>000000000</v>
      </c>
      <c r="P261" s="41" t="str">
        <f t="shared" si="30"/>
        <v>000000000</v>
      </c>
      <c r="Q261" s="44" t="s">
        <v>204</v>
      </c>
    </row>
    <row r="262" spans="1:17" x14ac:dyDescent="0.25">
      <c r="A262" s="36" t="str">
        <f t="shared" si="32"/>
        <v>10000000000201708110000000000000000028</v>
      </c>
      <c r="B262" s="37">
        <v>10</v>
      </c>
      <c r="C262" s="32" t="s">
        <v>200</v>
      </c>
      <c r="E262" s="17" t="str">
        <f t="shared" si="34"/>
        <v>00</v>
      </c>
      <c r="F262" s="17" t="str">
        <f t="shared" ref="F262:F300" si="35">C262&amp;E262&amp;D262</f>
        <v>000000000</v>
      </c>
      <c r="G262" s="38">
        <v>201708</v>
      </c>
      <c r="I262" s="47" t="s">
        <v>202</v>
      </c>
      <c r="K262" s="41">
        <f t="shared" si="31"/>
        <v>0</v>
      </c>
      <c r="L262" s="42">
        <f t="shared" ref="L262:L300" si="36">K262*100</f>
        <v>0</v>
      </c>
      <c r="M262" s="32" t="s">
        <v>203</v>
      </c>
      <c r="N262" s="17" t="str">
        <f t="shared" ref="N262:N300" si="37">IF(L262&lt;=9,"0000",IF(AND(L262&gt;=10,L262&lt;=99),"000",IF(AND(L262&gt;=100,L262&lt;=999),"00",IF(L262&gt;=1000,"0",""))))</f>
        <v>0000</v>
      </c>
      <c r="O262" s="43" t="str">
        <f t="shared" si="33"/>
        <v>000000000</v>
      </c>
      <c r="P262" s="41" t="str">
        <f t="shared" ref="P262:P300" si="38">LEFT(O262,9)</f>
        <v>000000000</v>
      </c>
      <c r="Q262" s="44" t="s">
        <v>204</v>
      </c>
    </row>
    <row r="263" spans="1:17" x14ac:dyDescent="0.25">
      <c r="A263" s="36" t="str">
        <f t="shared" si="32"/>
        <v>10000000000201708110000000000000000028</v>
      </c>
      <c r="B263" s="37">
        <v>10</v>
      </c>
      <c r="C263" s="32" t="s">
        <v>200</v>
      </c>
      <c r="E263" s="17" t="str">
        <f t="shared" si="34"/>
        <v>00</v>
      </c>
      <c r="F263" s="17" t="str">
        <f t="shared" si="35"/>
        <v>000000000</v>
      </c>
      <c r="G263" s="38">
        <v>201708</v>
      </c>
      <c r="I263" s="47" t="s">
        <v>202</v>
      </c>
      <c r="K263" s="41">
        <f t="shared" si="31"/>
        <v>0</v>
      </c>
      <c r="L263" s="42">
        <f t="shared" si="36"/>
        <v>0</v>
      </c>
      <c r="M263" s="32" t="s">
        <v>203</v>
      </c>
      <c r="N263" s="17" t="str">
        <f t="shared" si="37"/>
        <v>0000</v>
      </c>
      <c r="O263" s="43" t="str">
        <f t="shared" si="33"/>
        <v>000000000</v>
      </c>
      <c r="P263" s="41" t="str">
        <f t="shared" si="38"/>
        <v>000000000</v>
      </c>
      <c r="Q263" s="44" t="s">
        <v>204</v>
      </c>
    </row>
    <row r="264" spans="1:17" x14ac:dyDescent="0.25">
      <c r="A264" s="36" t="str">
        <f t="shared" si="32"/>
        <v>10000000000201708110000000000000000028</v>
      </c>
      <c r="B264" s="37">
        <v>10</v>
      </c>
      <c r="C264" s="32" t="s">
        <v>200</v>
      </c>
      <c r="E264" s="17" t="str">
        <f t="shared" si="34"/>
        <v>00</v>
      </c>
      <c r="F264" s="17" t="str">
        <f t="shared" si="35"/>
        <v>000000000</v>
      </c>
      <c r="G264" s="38">
        <v>201708</v>
      </c>
      <c r="I264" s="47" t="s">
        <v>202</v>
      </c>
      <c r="K264" s="41">
        <f t="shared" si="31"/>
        <v>0</v>
      </c>
      <c r="L264" s="42">
        <f t="shared" si="36"/>
        <v>0</v>
      </c>
      <c r="M264" s="32" t="s">
        <v>203</v>
      </c>
      <c r="N264" s="17" t="str">
        <f t="shared" si="37"/>
        <v>0000</v>
      </c>
      <c r="O264" s="43" t="str">
        <f t="shared" si="33"/>
        <v>000000000</v>
      </c>
      <c r="P264" s="41" t="str">
        <f t="shared" si="38"/>
        <v>000000000</v>
      </c>
      <c r="Q264" s="44" t="s">
        <v>204</v>
      </c>
    </row>
    <row r="265" spans="1:17" x14ac:dyDescent="0.25">
      <c r="A265" s="36" t="str">
        <f t="shared" si="32"/>
        <v>10000000000201708110000000000000000028</v>
      </c>
      <c r="B265" s="37">
        <v>10</v>
      </c>
      <c r="C265" s="32" t="s">
        <v>200</v>
      </c>
      <c r="E265" s="17" t="str">
        <f t="shared" si="34"/>
        <v>00</v>
      </c>
      <c r="F265" s="17" t="str">
        <f t="shared" si="35"/>
        <v>000000000</v>
      </c>
      <c r="G265" s="38">
        <v>201708</v>
      </c>
      <c r="I265" s="47" t="s">
        <v>202</v>
      </c>
      <c r="K265" s="41">
        <f t="shared" ref="K265:K300" si="39">J265*24</f>
        <v>0</v>
      </c>
      <c r="L265" s="42">
        <f t="shared" si="36"/>
        <v>0</v>
      </c>
      <c r="M265" s="32" t="s">
        <v>203</v>
      </c>
      <c r="N265" s="17" t="str">
        <f t="shared" si="37"/>
        <v>0000</v>
      </c>
      <c r="O265" s="43" t="str">
        <f t="shared" si="33"/>
        <v>000000000</v>
      </c>
      <c r="P265" s="41" t="str">
        <f t="shared" si="38"/>
        <v>000000000</v>
      </c>
      <c r="Q265" s="44" t="s">
        <v>204</v>
      </c>
    </row>
    <row r="266" spans="1:17" x14ac:dyDescent="0.25">
      <c r="A266" s="36" t="str">
        <f t="shared" si="32"/>
        <v>10000000000201708110000000000000000028</v>
      </c>
      <c r="B266" s="37">
        <v>10</v>
      </c>
      <c r="C266" s="32" t="s">
        <v>200</v>
      </c>
      <c r="E266" s="17" t="str">
        <f t="shared" si="34"/>
        <v>00</v>
      </c>
      <c r="F266" s="17" t="str">
        <f t="shared" si="35"/>
        <v>000000000</v>
      </c>
      <c r="G266" s="38">
        <v>201708</v>
      </c>
      <c r="I266" s="47" t="s">
        <v>202</v>
      </c>
      <c r="K266" s="41">
        <f t="shared" si="39"/>
        <v>0</v>
      </c>
      <c r="L266" s="42">
        <f t="shared" si="36"/>
        <v>0</v>
      </c>
      <c r="M266" s="32" t="s">
        <v>203</v>
      </c>
      <c r="N266" s="17" t="str">
        <f t="shared" si="37"/>
        <v>0000</v>
      </c>
      <c r="O266" s="43" t="str">
        <f t="shared" si="33"/>
        <v>000000000</v>
      </c>
      <c r="P266" s="41" t="str">
        <f t="shared" si="38"/>
        <v>000000000</v>
      </c>
      <c r="Q266" s="44" t="s">
        <v>204</v>
      </c>
    </row>
    <row r="267" spans="1:17" x14ac:dyDescent="0.25">
      <c r="A267" s="36" t="str">
        <f t="shared" ref="A267:A300" si="40">B267&amp;F267&amp;G267&amp;H267&amp;I267&amp;P267&amp;Q267</f>
        <v>10000000000201708110000000000000000028</v>
      </c>
      <c r="B267" s="37">
        <v>10</v>
      </c>
      <c r="C267" s="32" t="s">
        <v>200</v>
      </c>
      <c r="E267" s="17" t="str">
        <f t="shared" si="34"/>
        <v>00</v>
      </c>
      <c r="F267" s="17" t="str">
        <f t="shared" si="35"/>
        <v>000000000</v>
      </c>
      <c r="G267" s="38">
        <v>201708</v>
      </c>
      <c r="I267" s="47" t="s">
        <v>202</v>
      </c>
      <c r="K267" s="41">
        <f t="shared" si="39"/>
        <v>0</v>
      </c>
      <c r="L267" s="42">
        <f t="shared" si="36"/>
        <v>0</v>
      </c>
      <c r="M267" s="32" t="s">
        <v>203</v>
      </c>
      <c r="N267" s="17" t="str">
        <f t="shared" si="37"/>
        <v>0000</v>
      </c>
      <c r="O267" s="43" t="str">
        <f t="shared" si="33"/>
        <v>000000000</v>
      </c>
      <c r="P267" s="41" t="str">
        <f t="shared" si="38"/>
        <v>000000000</v>
      </c>
      <c r="Q267" s="44" t="s">
        <v>204</v>
      </c>
    </row>
    <row r="268" spans="1:17" x14ac:dyDescent="0.25">
      <c r="A268" s="36" t="str">
        <f t="shared" si="40"/>
        <v>10000000000201708110000000000000000028</v>
      </c>
      <c r="B268" s="37">
        <v>10</v>
      </c>
      <c r="C268" s="32" t="s">
        <v>200</v>
      </c>
      <c r="E268" s="17" t="str">
        <f t="shared" si="34"/>
        <v>00</v>
      </c>
      <c r="F268" s="17" t="str">
        <f t="shared" si="35"/>
        <v>000000000</v>
      </c>
      <c r="G268" s="38">
        <v>201708</v>
      </c>
      <c r="I268" s="47" t="s">
        <v>202</v>
      </c>
      <c r="K268" s="41">
        <f t="shared" si="39"/>
        <v>0</v>
      </c>
      <c r="L268" s="42">
        <f t="shared" si="36"/>
        <v>0</v>
      </c>
      <c r="M268" s="32" t="s">
        <v>203</v>
      </c>
      <c r="N268" s="17" t="str">
        <f t="shared" si="37"/>
        <v>0000</v>
      </c>
      <c r="O268" s="43" t="str">
        <f t="shared" si="33"/>
        <v>000000000</v>
      </c>
      <c r="P268" s="41" t="str">
        <f t="shared" si="38"/>
        <v>000000000</v>
      </c>
      <c r="Q268" s="44" t="s">
        <v>204</v>
      </c>
    </row>
    <row r="269" spans="1:17" x14ac:dyDescent="0.25">
      <c r="A269" s="36" t="str">
        <f t="shared" si="40"/>
        <v>10000000000201708110000000000000000028</v>
      </c>
      <c r="B269" s="37">
        <v>10</v>
      </c>
      <c r="C269" s="32" t="s">
        <v>200</v>
      </c>
      <c r="E269" s="17" t="str">
        <f t="shared" si="34"/>
        <v>00</v>
      </c>
      <c r="F269" s="17" t="str">
        <f t="shared" si="35"/>
        <v>000000000</v>
      </c>
      <c r="G269" s="38">
        <v>201708</v>
      </c>
      <c r="I269" s="47" t="s">
        <v>202</v>
      </c>
      <c r="K269" s="41">
        <f t="shared" si="39"/>
        <v>0</v>
      </c>
      <c r="L269" s="42">
        <f t="shared" si="36"/>
        <v>0</v>
      </c>
      <c r="M269" s="32" t="s">
        <v>203</v>
      </c>
      <c r="N269" s="17" t="str">
        <f t="shared" si="37"/>
        <v>0000</v>
      </c>
      <c r="O269" s="43" t="str">
        <f t="shared" ref="O269:O300" si="41">M269&amp;N269&amp;L269</f>
        <v>000000000</v>
      </c>
      <c r="P269" s="41" t="str">
        <f t="shared" si="38"/>
        <v>000000000</v>
      </c>
      <c r="Q269" s="44" t="s">
        <v>204</v>
      </c>
    </row>
    <row r="270" spans="1:17" x14ac:dyDescent="0.25">
      <c r="A270" s="36" t="str">
        <f t="shared" si="40"/>
        <v>10000000000201708110000000000000000028</v>
      </c>
      <c r="B270" s="37">
        <v>10</v>
      </c>
      <c r="C270" s="32" t="s">
        <v>200</v>
      </c>
      <c r="E270" s="17" t="str">
        <f t="shared" si="34"/>
        <v>00</v>
      </c>
      <c r="F270" s="17" t="str">
        <f t="shared" si="35"/>
        <v>000000000</v>
      </c>
      <c r="G270" s="38">
        <v>201708</v>
      </c>
      <c r="I270" s="47" t="s">
        <v>202</v>
      </c>
      <c r="K270" s="41">
        <f t="shared" si="39"/>
        <v>0</v>
      </c>
      <c r="L270" s="42">
        <f t="shared" si="36"/>
        <v>0</v>
      </c>
      <c r="M270" s="32" t="s">
        <v>203</v>
      </c>
      <c r="N270" s="17" t="str">
        <f t="shared" si="37"/>
        <v>0000</v>
      </c>
      <c r="O270" s="43" t="str">
        <f t="shared" si="41"/>
        <v>000000000</v>
      </c>
      <c r="P270" s="41" t="str">
        <f t="shared" si="38"/>
        <v>000000000</v>
      </c>
      <c r="Q270" s="44" t="s">
        <v>204</v>
      </c>
    </row>
    <row r="271" spans="1:17" x14ac:dyDescent="0.25">
      <c r="A271" s="36" t="str">
        <f t="shared" si="40"/>
        <v>10000000000201708110000000000000000028</v>
      </c>
      <c r="B271" s="37">
        <v>10</v>
      </c>
      <c r="C271" s="32" t="s">
        <v>200</v>
      </c>
      <c r="E271" s="17" t="str">
        <f t="shared" si="34"/>
        <v>00</v>
      </c>
      <c r="F271" s="17" t="str">
        <f t="shared" si="35"/>
        <v>000000000</v>
      </c>
      <c r="G271" s="38">
        <v>201708</v>
      </c>
      <c r="I271" s="47" t="s">
        <v>202</v>
      </c>
      <c r="K271" s="41">
        <f t="shared" si="39"/>
        <v>0</v>
      </c>
      <c r="L271" s="42">
        <f t="shared" si="36"/>
        <v>0</v>
      </c>
      <c r="M271" s="32" t="s">
        <v>203</v>
      </c>
      <c r="N271" s="17" t="str">
        <f t="shared" si="37"/>
        <v>0000</v>
      </c>
      <c r="O271" s="43" t="str">
        <f t="shared" si="41"/>
        <v>000000000</v>
      </c>
      <c r="P271" s="41" t="str">
        <f t="shared" si="38"/>
        <v>000000000</v>
      </c>
      <c r="Q271" s="44" t="s">
        <v>204</v>
      </c>
    </row>
    <row r="272" spans="1:17" x14ac:dyDescent="0.25">
      <c r="A272" s="36" t="str">
        <f t="shared" si="40"/>
        <v>10000000000201708110000000000000000028</v>
      </c>
      <c r="B272" s="37">
        <v>10</v>
      </c>
      <c r="C272" s="32" t="s">
        <v>200</v>
      </c>
      <c r="E272" s="17" t="str">
        <f t="shared" si="34"/>
        <v>00</v>
      </c>
      <c r="F272" s="17" t="str">
        <f t="shared" si="35"/>
        <v>000000000</v>
      </c>
      <c r="G272" s="38">
        <v>201708</v>
      </c>
      <c r="I272" s="47" t="s">
        <v>202</v>
      </c>
      <c r="K272" s="41">
        <f t="shared" si="39"/>
        <v>0</v>
      </c>
      <c r="L272" s="42">
        <f t="shared" si="36"/>
        <v>0</v>
      </c>
      <c r="M272" s="32" t="s">
        <v>203</v>
      </c>
      <c r="N272" s="17" t="str">
        <f t="shared" si="37"/>
        <v>0000</v>
      </c>
      <c r="O272" s="43" t="str">
        <f t="shared" si="41"/>
        <v>000000000</v>
      </c>
      <c r="P272" s="41" t="str">
        <f t="shared" si="38"/>
        <v>000000000</v>
      </c>
      <c r="Q272" s="44" t="s">
        <v>204</v>
      </c>
    </row>
    <row r="273" spans="1:17" x14ac:dyDescent="0.25">
      <c r="A273" s="36" t="str">
        <f t="shared" si="40"/>
        <v>10000000000201708110000000000000000028</v>
      </c>
      <c r="B273" s="37">
        <v>10</v>
      </c>
      <c r="C273" s="32" t="s">
        <v>200</v>
      </c>
      <c r="E273" s="17" t="str">
        <f t="shared" si="34"/>
        <v>00</v>
      </c>
      <c r="F273" s="17" t="str">
        <f t="shared" si="35"/>
        <v>000000000</v>
      </c>
      <c r="G273" s="38">
        <v>201708</v>
      </c>
      <c r="I273" s="47" t="s">
        <v>202</v>
      </c>
      <c r="K273" s="41">
        <f t="shared" si="39"/>
        <v>0</v>
      </c>
      <c r="L273" s="42">
        <f t="shared" si="36"/>
        <v>0</v>
      </c>
      <c r="M273" s="32" t="s">
        <v>203</v>
      </c>
      <c r="N273" s="17" t="str">
        <f t="shared" si="37"/>
        <v>0000</v>
      </c>
      <c r="O273" s="43" t="str">
        <f t="shared" si="41"/>
        <v>000000000</v>
      </c>
      <c r="P273" s="41" t="str">
        <f t="shared" si="38"/>
        <v>000000000</v>
      </c>
      <c r="Q273" s="44" t="s">
        <v>204</v>
      </c>
    </row>
    <row r="274" spans="1:17" x14ac:dyDescent="0.25">
      <c r="A274" s="36" t="str">
        <f t="shared" si="40"/>
        <v>10000000000201708110000000000000000028</v>
      </c>
      <c r="B274" s="37">
        <v>10</v>
      </c>
      <c r="C274" s="32" t="s">
        <v>200</v>
      </c>
      <c r="E274" s="17" t="str">
        <f t="shared" si="34"/>
        <v>00</v>
      </c>
      <c r="F274" s="17" t="str">
        <f t="shared" si="35"/>
        <v>000000000</v>
      </c>
      <c r="G274" s="38">
        <v>201708</v>
      </c>
      <c r="I274" s="47" t="s">
        <v>202</v>
      </c>
      <c r="K274" s="41">
        <f t="shared" si="39"/>
        <v>0</v>
      </c>
      <c r="L274" s="42">
        <f t="shared" si="36"/>
        <v>0</v>
      </c>
      <c r="M274" s="32" t="s">
        <v>203</v>
      </c>
      <c r="N274" s="17" t="str">
        <f t="shared" si="37"/>
        <v>0000</v>
      </c>
      <c r="O274" s="43" t="str">
        <f t="shared" si="41"/>
        <v>000000000</v>
      </c>
      <c r="P274" s="41" t="str">
        <f t="shared" si="38"/>
        <v>000000000</v>
      </c>
      <c r="Q274" s="44" t="s">
        <v>204</v>
      </c>
    </row>
    <row r="275" spans="1:17" x14ac:dyDescent="0.25">
      <c r="A275" s="36" t="str">
        <f t="shared" si="40"/>
        <v>10000000000201708110000000000000000028</v>
      </c>
      <c r="B275" s="37">
        <v>10</v>
      </c>
      <c r="C275" s="32" t="s">
        <v>200</v>
      </c>
      <c r="E275" s="17" t="str">
        <f t="shared" si="34"/>
        <v>00</v>
      </c>
      <c r="F275" s="17" t="str">
        <f t="shared" si="35"/>
        <v>000000000</v>
      </c>
      <c r="G275" s="38">
        <v>201708</v>
      </c>
      <c r="I275" s="47" t="s">
        <v>202</v>
      </c>
      <c r="K275" s="41">
        <f t="shared" si="39"/>
        <v>0</v>
      </c>
      <c r="L275" s="42">
        <f t="shared" si="36"/>
        <v>0</v>
      </c>
      <c r="M275" s="32" t="s">
        <v>203</v>
      </c>
      <c r="N275" s="17" t="str">
        <f t="shared" si="37"/>
        <v>0000</v>
      </c>
      <c r="O275" s="43" t="str">
        <f t="shared" si="41"/>
        <v>000000000</v>
      </c>
      <c r="P275" s="41" t="str">
        <f t="shared" si="38"/>
        <v>000000000</v>
      </c>
      <c r="Q275" s="44" t="s">
        <v>204</v>
      </c>
    </row>
    <row r="276" spans="1:17" x14ac:dyDescent="0.25">
      <c r="A276" s="36" t="str">
        <f t="shared" si="40"/>
        <v>10000000000201708110000000000000000028</v>
      </c>
      <c r="B276" s="37">
        <v>10</v>
      </c>
      <c r="C276" s="32" t="s">
        <v>200</v>
      </c>
      <c r="E276" s="17" t="str">
        <f t="shared" si="34"/>
        <v>00</v>
      </c>
      <c r="F276" s="17" t="str">
        <f t="shared" si="35"/>
        <v>000000000</v>
      </c>
      <c r="G276" s="38">
        <v>201708</v>
      </c>
      <c r="I276" s="47" t="s">
        <v>202</v>
      </c>
      <c r="K276" s="41">
        <f t="shared" si="39"/>
        <v>0</v>
      </c>
      <c r="L276" s="42">
        <f t="shared" si="36"/>
        <v>0</v>
      </c>
      <c r="M276" s="32" t="s">
        <v>203</v>
      </c>
      <c r="N276" s="17" t="str">
        <f t="shared" si="37"/>
        <v>0000</v>
      </c>
      <c r="O276" s="43" t="str">
        <f t="shared" si="41"/>
        <v>000000000</v>
      </c>
      <c r="P276" s="41" t="str">
        <f t="shared" si="38"/>
        <v>000000000</v>
      </c>
      <c r="Q276" s="44" t="s">
        <v>204</v>
      </c>
    </row>
    <row r="277" spans="1:17" x14ac:dyDescent="0.25">
      <c r="A277" s="36" t="str">
        <f t="shared" si="40"/>
        <v>10000000000201708110000000000000000028</v>
      </c>
      <c r="B277" s="37">
        <v>10</v>
      </c>
      <c r="C277" s="32" t="s">
        <v>200</v>
      </c>
      <c r="E277" s="17" t="str">
        <f t="shared" si="34"/>
        <v>00</v>
      </c>
      <c r="F277" s="17" t="str">
        <f t="shared" si="35"/>
        <v>000000000</v>
      </c>
      <c r="G277" s="38">
        <v>201708</v>
      </c>
      <c r="I277" s="47" t="s">
        <v>202</v>
      </c>
      <c r="K277" s="41">
        <f t="shared" si="39"/>
        <v>0</v>
      </c>
      <c r="L277" s="42">
        <f t="shared" si="36"/>
        <v>0</v>
      </c>
      <c r="M277" s="32" t="s">
        <v>203</v>
      </c>
      <c r="N277" s="17" t="str">
        <f t="shared" si="37"/>
        <v>0000</v>
      </c>
      <c r="O277" s="43" t="str">
        <f t="shared" si="41"/>
        <v>000000000</v>
      </c>
      <c r="P277" s="41" t="str">
        <f t="shared" si="38"/>
        <v>000000000</v>
      </c>
      <c r="Q277" s="44" t="s">
        <v>204</v>
      </c>
    </row>
    <row r="278" spans="1:17" x14ac:dyDescent="0.25">
      <c r="A278" s="36" t="str">
        <f t="shared" si="40"/>
        <v>10000000000201708110000000000000000028</v>
      </c>
      <c r="B278" s="37">
        <v>10</v>
      </c>
      <c r="C278" s="32" t="s">
        <v>200</v>
      </c>
      <c r="E278" s="17" t="str">
        <f t="shared" si="34"/>
        <v>00</v>
      </c>
      <c r="F278" s="17" t="str">
        <f t="shared" si="35"/>
        <v>000000000</v>
      </c>
      <c r="G278" s="38">
        <v>201708</v>
      </c>
      <c r="I278" s="47" t="s">
        <v>202</v>
      </c>
      <c r="K278" s="41">
        <f t="shared" si="39"/>
        <v>0</v>
      </c>
      <c r="L278" s="42">
        <f t="shared" si="36"/>
        <v>0</v>
      </c>
      <c r="M278" s="32" t="s">
        <v>203</v>
      </c>
      <c r="N278" s="17" t="str">
        <f t="shared" si="37"/>
        <v>0000</v>
      </c>
      <c r="O278" s="43" t="str">
        <f t="shared" si="41"/>
        <v>000000000</v>
      </c>
      <c r="P278" s="41" t="str">
        <f t="shared" si="38"/>
        <v>000000000</v>
      </c>
      <c r="Q278" s="44" t="s">
        <v>204</v>
      </c>
    </row>
    <row r="279" spans="1:17" x14ac:dyDescent="0.25">
      <c r="A279" s="36" t="str">
        <f t="shared" si="40"/>
        <v>10000000000201708110000000000000000028</v>
      </c>
      <c r="B279" s="37">
        <v>10</v>
      </c>
      <c r="C279" s="32" t="s">
        <v>200</v>
      </c>
      <c r="E279" s="17" t="str">
        <f t="shared" si="34"/>
        <v>00</v>
      </c>
      <c r="F279" s="17" t="str">
        <f t="shared" si="35"/>
        <v>000000000</v>
      </c>
      <c r="G279" s="38">
        <v>201708</v>
      </c>
      <c r="I279" s="47" t="s">
        <v>202</v>
      </c>
      <c r="K279" s="41">
        <f t="shared" si="39"/>
        <v>0</v>
      </c>
      <c r="L279" s="42">
        <f t="shared" si="36"/>
        <v>0</v>
      </c>
      <c r="M279" s="32" t="s">
        <v>203</v>
      </c>
      <c r="N279" s="17" t="str">
        <f t="shared" si="37"/>
        <v>0000</v>
      </c>
      <c r="O279" s="43" t="str">
        <f t="shared" si="41"/>
        <v>000000000</v>
      </c>
      <c r="P279" s="41" t="str">
        <f t="shared" si="38"/>
        <v>000000000</v>
      </c>
      <c r="Q279" s="44" t="s">
        <v>204</v>
      </c>
    </row>
    <row r="280" spans="1:17" x14ac:dyDescent="0.25">
      <c r="A280" s="36" t="str">
        <f t="shared" si="40"/>
        <v>10000000000201708110000000000000000028</v>
      </c>
      <c r="B280" s="37">
        <v>10</v>
      </c>
      <c r="C280" s="32" t="s">
        <v>200</v>
      </c>
      <c r="E280" s="17" t="str">
        <f t="shared" si="34"/>
        <v>00</v>
      </c>
      <c r="F280" s="17" t="str">
        <f t="shared" si="35"/>
        <v>000000000</v>
      </c>
      <c r="G280" s="38">
        <v>201708</v>
      </c>
      <c r="I280" s="47" t="s">
        <v>202</v>
      </c>
      <c r="K280" s="41">
        <f t="shared" si="39"/>
        <v>0</v>
      </c>
      <c r="L280" s="42">
        <f t="shared" si="36"/>
        <v>0</v>
      </c>
      <c r="M280" s="32" t="s">
        <v>203</v>
      </c>
      <c r="N280" s="17" t="str">
        <f t="shared" si="37"/>
        <v>0000</v>
      </c>
      <c r="O280" s="43" t="str">
        <f t="shared" si="41"/>
        <v>000000000</v>
      </c>
      <c r="P280" s="41" t="str">
        <f t="shared" si="38"/>
        <v>000000000</v>
      </c>
      <c r="Q280" s="44" t="s">
        <v>204</v>
      </c>
    </row>
    <row r="281" spans="1:17" x14ac:dyDescent="0.25">
      <c r="A281" s="36" t="str">
        <f t="shared" si="40"/>
        <v>10000000000201708110000000000000000028</v>
      </c>
      <c r="B281" s="37">
        <v>10</v>
      </c>
      <c r="C281" s="32" t="s">
        <v>200</v>
      </c>
      <c r="E281" s="17" t="str">
        <f t="shared" si="34"/>
        <v>00</v>
      </c>
      <c r="F281" s="17" t="str">
        <f t="shared" si="35"/>
        <v>000000000</v>
      </c>
      <c r="G281" s="38">
        <v>201708</v>
      </c>
      <c r="I281" s="47" t="s">
        <v>202</v>
      </c>
      <c r="K281" s="41">
        <f t="shared" si="39"/>
        <v>0</v>
      </c>
      <c r="L281" s="42">
        <f t="shared" si="36"/>
        <v>0</v>
      </c>
      <c r="M281" s="32" t="s">
        <v>203</v>
      </c>
      <c r="N281" s="17" t="str">
        <f t="shared" si="37"/>
        <v>0000</v>
      </c>
      <c r="O281" s="43" t="str">
        <f t="shared" si="41"/>
        <v>000000000</v>
      </c>
      <c r="P281" s="41" t="str">
        <f t="shared" si="38"/>
        <v>000000000</v>
      </c>
      <c r="Q281" s="44" t="s">
        <v>204</v>
      </c>
    </row>
    <row r="282" spans="1:17" x14ac:dyDescent="0.25">
      <c r="A282" s="36" t="str">
        <f t="shared" si="40"/>
        <v>10000000000201708110000000000000000028</v>
      </c>
      <c r="B282" s="37">
        <v>10</v>
      </c>
      <c r="C282" s="32" t="s">
        <v>200</v>
      </c>
      <c r="E282" s="17" t="str">
        <f t="shared" si="34"/>
        <v>00</v>
      </c>
      <c r="F282" s="17" t="str">
        <f t="shared" si="35"/>
        <v>000000000</v>
      </c>
      <c r="G282" s="38">
        <v>201708</v>
      </c>
      <c r="I282" s="47" t="s">
        <v>202</v>
      </c>
      <c r="K282" s="41">
        <f t="shared" si="39"/>
        <v>0</v>
      </c>
      <c r="L282" s="42">
        <f t="shared" si="36"/>
        <v>0</v>
      </c>
      <c r="M282" s="32" t="s">
        <v>203</v>
      </c>
      <c r="N282" s="17" t="str">
        <f t="shared" si="37"/>
        <v>0000</v>
      </c>
      <c r="O282" s="43" t="str">
        <f t="shared" si="41"/>
        <v>000000000</v>
      </c>
      <c r="P282" s="41" t="str">
        <f t="shared" si="38"/>
        <v>000000000</v>
      </c>
      <c r="Q282" s="44" t="s">
        <v>204</v>
      </c>
    </row>
    <row r="283" spans="1:17" x14ac:dyDescent="0.25">
      <c r="A283" s="36" t="str">
        <f t="shared" si="40"/>
        <v>10000000000201708110000000000000000028</v>
      </c>
      <c r="B283" s="37">
        <v>10</v>
      </c>
      <c r="C283" s="32" t="s">
        <v>200</v>
      </c>
      <c r="E283" s="17" t="str">
        <f t="shared" si="34"/>
        <v>00</v>
      </c>
      <c r="F283" s="17" t="str">
        <f t="shared" si="35"/>
        <v>000000000</v>
      </c>
      <c r="G283" s="38">
        <v>201708</v>
      </c>
      <c r="I283" s="47" t="s">
        <v>202</v>
      </c>
      <c r="K283" s="41">
        <f t="shared" si="39"/>
        <v>0</v>
      </c>
      <c r="L283" s="42">
        <f t="shared" si="36"/>
        <v>0</v>
      </c>
      <c r="M283" s="32" t="s">
        <v>203</v>
      </c>
      <c r="N283" s="17" t="str">
        <f t="shared" si="37"/>
        <v>0000</v>
      </c>
      <c r="O283" s="43" t="str">
        <f t="shared" si="41"/>
        <v>000000000</v>
      </c>
      <c r="P283" s="41" t="str">
        <f t="shared" si="38"/>
        <v>000000000</v>
      </c>
      <c r="Q283" s="44" t="s">
        <v>204</v>
      </c>
    </row>
    <row r="284" spans="1:17" x14ac:dyDescent="0.25">
      <c r="A284" s="36" t="str">
        <f t="shared" si="40"/>
        <v>10000000000201708110000000000000000028</v>
      </c>
      <c r="B284" s="37">
        <v>10</v>
      </c>
      <c r="C284" s="32" t="s">
        <v>200</v>
      </c>
      <c r="E284" s="17" t="str">
        <f t="shared" si="34"/>
        <v>00</v>
      </c>
      <c r="F284" s="17" t="str">
        <f t="shared" si="35"/>
        <v>000000000</v>
      </c>
      <c r="G284" s="38">
        <v>201708</v>
      </c>
      <c r="I284" s="47" t="s">
        <v>202</v>
      </c>
      <c r="K284" s="41">
        <f t="shared" si="39"/>
        <v>0</v>
      </c>
      <c r="L284" s="42">
        <f t="shared" si="36"/>
        <v>0</v>
      </c>
      <c r="M284" s="32" t="s">
        <v>203</v>
      </c>
      <c r="N284" s="17" t="str">
        <f t="shared" si="37"/>
        <v>0000</v>
      </c>
      <c r="O284" s="43" t="str">
        <f t="shared" si="41"/>
        <v>000000000</v>
      </c>
      <c r="P284" s="41" t="str">
        <f t="shared" si="38"/>
        <v>000000000</v>
      </c>
      <c r="Q284" s="44" t="s">
        <v>204</v>
      </c>
    </row>
    <row r="285" spans="1:17" x14ac:dyDescent="0.25">
      <c r="A285" s="36" t="str">
        <f t="shared" si="40"/>
        <v>10000000000201708110000000000000000028</v>
      </c>
      <c r="B285" s="37">
        <v>10</v>
      </c>
      <c r="C285" s="32" t="s">
        <v>200</v>
      </c>
      <c r="E285" s="17" t="str">
        <f t="shared" si="34"/>
        <v>00</v>
      </c>
      <c r="F285" s="17" t="str">
        <f t="shared" si="35"/>
        <v>000000000</v>
      </c>
      <c r="G285" s="38">
        <v>201708</v>
      </c>
      <c r="I285" s="47" t="s">
        <v>202</v>
      </c>
      <c r="K285" s="41">
        <f t="shared" si="39"/>
        <v>0</v>
      </c>
      <c r="L285" s="42">
        <f t="shared" si="36"/>
        <v>0</v>
      </c>
      <c r="M285" s="32" t="s">
        <v>203</v>
      </c>
      <c r="N285" s="17" t="str">
        <f t="shared" si="37"/>
        <v>0000</v>
      </c>
      <c r="O285" s="43" t="str">
        <f t="shared" si="41"/>
        <v>000000000</v>
      </c>
      <c r="P285" s="41" t="str">
        <f t="shared" si="38"/>
        <v>000000000</v>
      </c>
      <c r="Q285" s="44" t="s">
        <v>204</v>
      </c>
    </row>
    <row r="286" spans="1:17" x14ac:dyDescent="0.25">
      <c r="A286" s="36" t="str">
        <f t="shared" si="40"/>
        <v>10000000000201708110000000000000000028</v>
      </c>
      <c r="B286" s="37">
        <v>10</v>
      </c>
      <c r="C286" s="32" t="s">
        <v>200</v>
      </c>
      <c r="E286" s="17" t="str">
        <f t="shared" si="34"/>
        <v>00</v>
      </c>
      <c r="F286" s="17" t="str">
        <f t="shared" si="35"/>
        <v>000000000</v>
      </c>
      <c r="G286" s="38">
        <v>201708</v>
      </c>
      <c r="I286" s="47" t="s">
        <v>202</v>
      </c>
      <c r="K286" s="41">
        <f t="shared" si="39"/>
        <v>0</v>
      </c>
      <c r="L286" s="42">
        <f t="shared" si="36"/>
        <v>0</v>
      </c>
      <c r="M286" s="32" t="s">
        <v>203</v>
      </c>
      <c r="N286" s="17" t="str">
        <f t="shared" si="37"/>
        <v>0000</v>
      </c>
      <c r="O286" s="43" t="str">
        <f t="shared" si="41"/>
        <v>000000000</v>
      </c>
      <c r="P286" s="41" t="str">
        <f t="shared" si="38"/>
        <v>000000000</v>
      </c>
      <c r="Q286" s="44" t="s">
        <v>204</v>
      </c>
    </row>
    <row r="287" spans="1:17" x14ac:dyDescent="0.25">
      <c r="A287" s="36" t="str">
        <f t="shared" si="40"/>
        <v>10000000000201708110000000000000000028</v>
      </c>
      <c r="B287" s="37">
        <v>10</v>
      </c>
      <c r="C287" s="32" t="s">
        <v>200</v>
      </c>
      <c r="E287" s="17" t="str">
        <f t="shared" si="34"/>
        <v>00</v>
      </c>
      <c r="F287" s="17" t="str">
        <f t="shared" si="35"/>
        <v>000000000</v>
      </c>
      <c r="G287" s="38">
        <v>201708</v>
      </c>
      <c r="I287" s="47" t="s">
        <v>202</v>
      </c>
      <c r="K287" s="41">
        <f t="shared" si="39"/>
        <v>0</v>
      </c>
      <c r="L287" s="42">
        <f t="shared" si="36"/>
        <v>0</v>
      </c>
      <c r="M287" s="32" t="s">
        <v>203</v>
      </c>
      <c r="N287" s="17" t="str">
        <f t="shared" si="37"/>
        <v>0000</v>
      </c>
      <c r="O287" s="43" t="str">
        <f t="shared" si="41"/>
        <v>000000000</v>
      </c>
      <c r="P287" s="41" t="str">
        <f t="shared" si="38"/>
        <v>000000000</v>
      </c>
      <c r="Q287" s="44" t="s">
        <v>204</v>
      </c>
    </row>
    <row r="288" spans="1:17" x14ac:dyDescent="0.25">
      <c r="A288" s="36" t="str">
        <f t="shared" si="40"/>
        <v>10000000000201708110000000000000000028</v>
      </c>
      <c r="B288" s="37">
        <v>10</v>
      </c>
      <c r="C288" s="32" t="s">
        <v>200</v>
      </c>
      <c r="E288" s="17" t="str">
        <f t="shared" si="34"/>
        <v>00</v>
      </c>
      <c r="F288" s="17" t="str">
        <f t="shared" si="35"/>
        <v>000000000</v>
      </c>
      <c r="G288" s="38">
        <v>201708</v>
      </c>
      <c r="I288" s="47" t="s">
        <v>202</v>
      </c>
      <c r="K288" s="41">
        <f t="shared" si="39"/>
        <v>0</v>
      </c>
      <c r="L288" s="42">
        <f t="shared" si="36"/>
        <v>0</v>
      </c>
      <c r="M288" s="32" t="s">
        <v>203</v>
      </c>
      <c r="N288" s="17" t="str">
        <f t="shared" si="37"/>
        <v>0000</v>
      </c>
      <c r="O288" s="43" t="str">
        <f t="shared" si="41"/>
        <v>000000000</v>
      </c>
      <c r="P288" s="41" t="str">
        <f t="shared" si="38"/>
        <v>000000000</v>
      </c>
      <c r="Q288" s="44" t="s">
        <v>204</v>
      </c>
    </row>
    <row r="289" spans="1:17" x14ac:dyDescent="0.25">
      <c r="A289" s="36" t="str">
        <f t="shared" si="40"/>
        <v>10000000000201708110000000000000000028</v>
      </c>
      <c r="B289" s="37">
        <v>10</v>
      </c>
      <c r="C289" s="32" t="s">
        <v>200</v>
      </c>
      <c r="E289" s="17" t="str">
        <f t="shared" si="34"/>
        <v>00</v>
      </c>
      <c r="F289" s="17" t="str">
        <f t="shared" si="35"/>
        <v>000000000</v>
      </c>
      <c r="G289" s="38">
        <v>201708</v>
      </c>
      <c r="I289" s="47" t="s">
        <v>202</v>
      </c>
      <c r="K289" s="41">
        <f t="shared" si="39"/>
        <v>0</v>
      </c>
      <c r="L289" s="42">
        <f t="shared" si="36"/>
        <v>0</v>
      </c>
      <c r="M289" s="32" t="s">
        <v>203</v>
      </c>
      <c r="N289" s="17" t="str">
        <f t="shared" si="37"/>
        <v>0000</v>
      </c>
      <c r="O289" s="43" t="str">
        <f t="shared" si="41"/>
        <v>000000000</v>
      </c>
      <c r="P289" s="41" t="str">
        <f t="shared" si="38"/>
        <v>000000000</v>
      </c>
      <c r="Q289" s="44" t="s">
        <v>204</v>
      </c>
    </row>
    <row r="290" spans="1:17" x14ac:dyDescent="0.25">
      <c r="A290" s="36" t="str">
        <f t="shared" si="40"/>
        <v>10000000000201708110000000000000000028</v>
      </c>
      <c r="B290" s="37">
        <v>10</v>
      </c>
      <c r="C290" s="32" t="s">
        <v>200</v>
      </c>
      <c r="E290" s="17" t="str">
        <f t="shared" si="34"/>
        <v>00</v>
      </c>
      <c r="F290" s="17" t="str">
        <f t="shared" si="35"/>
        <v>000000000</v>
      </c>
      <c r="G290" s="38">
        <v>201708</v>
      </c>
      <c r="I290" s="47" t="s">
        <v>202</v>
      </c>
      <c r="K290" s="41">
        <f t="shared" si="39"/>
        <v>0</v>
      </c>
      <c r="L290" s="42">
        <f t="shared" si="36"/>
        <v>0</v>
      </c>
      <c r="M290" s="32" t="s">
        <v>203</v>
      </c>
      <c r="N290" s="17" t="str">
        <f t="shared" si="37"/>
        <v>0000</v>
      </c>
      <c r="O290" s="43" t="str">
        <f t="shared" si="41"/>
        <v>000000000</v>
      </c>
      <c r="P290" s="41" t="str">
        <f t="shared" si="38"/>
        <v>000000000</v>
      </c>
      <c r="Q290" s="44" t="s">
        <v>204</v>
      </c>
    </row>
    <row r="291" spans="1:17" x14ac:dyDescent="0.25">
      <c r="A291" s="36" t="str">
        <f t="shared" si="40"/>
        <v>10000000000201708110000000000000000028</v>
      </c>
      <c r="B291" s="37">
        <v>10</v>
      </c>
      <c r="C291" s="32" t="s">
        <v>200</v>
      </c>
      <c r="E291" s="17" t="str">
        <f t="shared" si="34"/>
        <v>00</v>
      </c>
      <c r="F291" s="17" t="str">
        <f t="shared" si="35"/>
        <v>000000000</v>
      </c>
      <c r="G291" s="38">
        <v>201708</v>
      </c>
      <c r="I291" s="47" t="s">
        <v>202</v>
      </c>
      <c r="K291" s="41">
        <f t="shared" si="39"/>
        <v>0</v>
      </c>
      <c r="L291" s="42">
        <f t="shared" si="36"/>
        <v>0</v>
      </c>
      <c r="M291" s="32" t="s">
        <v>203</v>
      </c>
      <c r="N291" s="17" t="str">
        <f t="shared" si="37"/>
        <v>0000</v>
      </c>
      <c r="O291" s="43" t="str">
        <f t="shared" si="41"/>
        <v>000000000</v>
      </c>
      <c r="P291" s="41" t="str">
        <f t="shared" si="38"/>
        <v>000000000</v>
      </c>
      <c r="Q291" s="44" t="s">
        <v>204</v>
      </c>
    </row>
    <row r="292" spans="1:17" x14ac:dyDescent="0.25">
      <c r="A292" s="36" t="str">
        <f t="shared" si="40"/>
        <v>10000000000201708110000000000000000028</v>
      </c>
      <c r="B292" s="37">
        <v>10</v>
      </c>
      <c r="C292" s="32" t="s">
        <v>200</v>
      </c>
      <c r="E292" s="17" t="str">
        <f t="shared" si="34"/>
        <v>00</v>
      </c>
      <c r="F292" s="17" t="str">
        <f t="shared" si="35"/>
        <v>000000000</v>
      </c>
      <c r="G292" s="38">
        <v>201708</v>
      </c>
      <c r="I292" s="47" t="s">
        <v>202</v>
      </c>
      <c r="K292" s="41">
        <f t="shared" si="39"/>
        <v>0</v>
      </c>
      <c r="L292" s="42">
        <f t="shared" si="36"/>
        <v>0</v>
      </c>
      <c r="M292" s="32" t="s">
        <v>203</v>
      </c>
      <c r="N292" s="17" t="str">
        <f t="shared" si="37"/>
        <v>0000</v>
      </c>
      <c r="O292" s="43" t="str">
        <f t="shared" si="41"/>
        <v>000000000</v>
      </c>
      <c r="P292" s="41" t="str">
        <f t="shared" si="38"/>
        <v>000000000</v>
      </c>
      <c r="Q292" s="44" t="s">
        <v>204</v>
      </c>
    </row>
    <row r="293" spans="1:17" x14ac:dyDescent="0.25">
      <c r="A293" s="36" t="str">
        <f t="shared" si="40"/>
        <v>10000000000201708110000000000000000028</v>
      </c>
      <c r="B293" s="37">
        <v>10</v>
      </c>
      <c r="C293" s="32" t="s">
        <v>200</v>
      </c>
      <c r="E293" s="17" t="str">
        <f t="shared" si="34"/>
        <v>00</v>
      </c>
      <c r="F293" s="17" t="str">
        <f t="shared" si="35"/>
        <v>000000000</v>
      </c>
      <c r="G293" s="38">
        <v>201708</v>
      </c>
      <c r="I293" s="47" t="s">
        <v>202</v>
      </c>
      <c r="K293" s="41">
        <f t="shared" si="39"/>
        <v>0</v>
      </c>
      <c r="L293" s="42">
        <f t="shared" si="36"/>
        <v>0</v>
      </c>
      <c r="M293" s="32" t="s">
        <v>203</v>
      </c>
      <c r="N293" s="17" t="str">
        <f t="shared" si="37"/>
        <v>0000</v>
      </c>
      <c r="O293" s="43" t="str">
        <f t="shared" si="41"/>
        <v>000000000</v>
      </c>
      <c r="P293" s="41" t="str">
        <f t="shared" si="38"/>
        <v>000000000</v>
      </c>
      <c r="Q293" s="44" t="s">
        <v>204</v>
      </c>
    </row>
    <row r="294" spans="1:17" x14ac:dyDescent="0.25">
      <c r="A294" s="36" t="str">
        <f t="shared" si="40"/>
        <v>10000000000201708110000000000000000028</v>
      </c>
      <c r="B294" s="37">
        <v>10</v>
      </c>
      <c r="C294" s="32" t="s">
        <v>200</v>
      </c>
      <c r="E294" s="17" t="str">
        <f t="shared" si="34"/>
        <v>00</v>
      </c>
      <c r="F294" s="17" t="str">
        <f t="shared" si="35"/>
        <v>000000000</v>
      </c>
      <c r="G294" s="38">
        <v>201708</v>
      </c>
      <c r="I294" s="47" t="s">
        <v>202</v>
      </c>
      <c r="K294" s="41">
        <f t="shared" si="39"/>
        <v>0</v>
      </c>
      <c r="L294" s="42">
        <f t="shared" si="36"/>
        <v>0</v>
      </c>
      <c r="M294" s="32" t="s">
        <v>203</v>
      </c>
      <c r="N294" s="17" t="str">
        <f t="shared" si="37"/>
        <v>0000</v>
      </c>
      <c r="O294" s="43" t="str">
        <f t="shared" si="41"/>
        <v>000000000</v>
      </c>
      <c r="P294" s="41" t="str">
        <f t="shared" si="38"/>
        <v>000000000</v>
      </c>
      <c r="Q294" s="44" t="s">
        <v>204</v>
      </c>
    </row>
    <row r="295" spans="1:17" x14ac:dyDescent="0.25">
      <c r="A295" s="36" t="str">
        <f t="shared" si="40"/>
        <v>10000000000201708110000000000000000028</v>
      </c>
      <c r="B295" s="37">
        <v>10</v>
      </c>
      <c r="C295" s="32" t="s">
        <v>200</v>
      </c>
      <c r="E295" s="17" t="str">
        <f t="shared" si="34"/>
        <v>00</v>
      </c>
      <c r="F295" s="17" t="str">
        <f t="shared" si="35"/>
        <v>000000000</v>
      </c>
      <c r="G295" s="38">
        <v>201708</v>
      </c>
      <c r="I295" s="47" t="s">
        <v>202</v>
      </c>
      <c r="K295" s="41">
        <f t="shared" si="39"/>
        <v>0</v>
      </c>
      <c r="L295" s="42">
        <f t="shared" si="36"/>
        <v>0</v>
      </c>
      <c r="M295" s="32" t="s">
        <v>203</v>
      </c>
      <c r="N295" s="17" t="str">
        <f t="shared" si="37"/>
        <v>0000</v>
      </c>
      <c r="O295" s="43" t="str">
        <f t="shared" si="41"/>
        <v>000000000</v>
      </c>
      <c r="P295" s="41" t="str">
        <f t="shared" si="38"/>
        <v>000000000</v>
      </c>
      <c r="Q295" s="44" t="s">
        <v>204</v>
      </c>
    </row>
    <row r="296" spans="1:17" x14ac:dyDescent="0.25">
      <c r="A296" s="36" t="str">
        <f t="shared" si="40"/>
        <v>10000000000201708110000000000000000028</v>
      </c>
      <c r="B296" s="37">
        <v>10</v>
      </c>
      <c r="C296" s="32" t="s">
        <v>200</v>
      </c>
      <c r="E296" s="17" t="str">
        <f t="shared" si="34"/>
        <v>00</v>
      </c>
      <c r="F296" s="17" t="str">
        <f t="shared" si="35"/>
        <v>000000000</v>
      </c>
      <c r="G296" s="38">
        <v>201708</v>
      </c>
      <c r="I296" s="47" t="s">
        <v>202</v>
      </c>
      <c r="K296" s="41">
        <f t="shared" si="39"/>
        <v>0</v>
      </c>
      <c r="L296" s="42">
        <f t="shared" si="36"/>
        <v>0</v>
      </c>
      <c r="M296" s="32" t="s">
        <v>203</v>
      </c>
      <c r="N296" s="17" t="str">
        <f t="shared" si="37"/>
        <v>0000</v>
      </c>
      <c r="O296" s="43" t="str">
        <f t="shared" si="41"/>
        <v>000000000</v>
      </c>
      <c r="P296" s="41" t="str">
        <f t="shared" si="38"/>
        <v>000000000</v>
      </c>
      <c r="Q296" s="44" t="s">
        <v>204</v>
      </c>
    </row>
    <row r="297" spans="1:17" x14ac:dyDescent="0.25">
      <c r="A297" s="36" t="str">
        <f t="shared" si="40"/>
        <v>10000000000201708110000000000000000028</v>
      </c>
      <c r="B297" s="37">
        <v>10</v>
      </c>
      <c r="C297" s="32" t="s">
        <v>200</v>
      </c>
      <c r="E297" s="17" t="str">
        <f t="shared" si="34"/>
        <v>00</v>
      </c>
      <c r="F297" s="17" t="str">
        <f t="shared" si="35"/>
        <v>000000000</v>
      </c>
      <c r="G297" s="38">
        <v>201708</v>
      </c>
      <c r="I297" s="47" t="s">
        <v>202</v>
      </c>
      <c r="K297" s="41">
        <f t="shared" si="39"/>
        <v>0</v>
      </c>
      <c r="L297" s="42">
        <f t="shared" si="36"/>
        <v>0</v>
      </c>
      <c r="M297" s="32" t="s">
        <v>203</v>
      </c>
      <c r="N297" s="17" t="str">
        <f t="shared" si="37"/>
        <v>0000</v>
      </c>
      <c r="O297" s="43" t="str">
        <f t="shared" si="41"/>
        <v>000000000</v>
      </c>
      <c r="P297" s="41" t="str">
        <f t="shared" si="38"/>
        <v>000000000</v>
      </c>
      <c r="Q297" s="44" t="s">
        <v>204</v>
      </c>
    </row>
    <row r="298" spans="1:17" x14ac:dyDescent="0.25">
      <c r="A298" s="36" t="str">
        <f t="shared" si="40"/>
        <v>10000000000201708110000000000000000028</v>
      </c>
      <c r="B298" s="37">
        <v>10</v>
      </c>
      <c r="C298" s="32" t="s">
        <v>200</v>
      </c>
      <c r="E298" s="17" t="str">
        <f t="shared" si="34"/>
        <v>00</v>
      </c>
      <c r="F298" s="17" t="str">
        <f t="shared" si="35"/>
        <v>000000000</v>
      </c>
      <c r="G298" s="38">
        <v>201708</v>
      </c>
      <c r="I298" s="47" t="s">
        <v>202</v>
      </c>
      <c r="K298" s="41">
        <f t="shared" si="39"/>
        <v>0</v>
      </c>
      <c r="L298" s="42">
        <f t="shared" si="36"/>
        <v>0</v>
      </c>
      <c r="M298" s="32" t="s">
        <v>203</v>
      </c>
      <c r="N298" s="17" t="str">
        <f t="shared" si="37"/>
        <v>0000</v>
      </c>
      <c r="O298" s="43" t="str">
        <f t="shared" si="41"/>
        <v>000000000</v>
      </c>
      <c r="P298" s="41" t="str">
        <f t="shared" si="38"/>
        <v>000000000</v>
      </c>
      <c r="Q298" s="44" t="s">
        <v>204</v>
      </c>
    </row>
    <row r="299" spans="1:17" x14ac:dyDescent="0.25">
      <c r="A299" s="36" t="str">
        <f t="shared" si="40"/>
        <v>10000000000201708110000000000000000028</v>
      </c>
      <c r="B299" s="37">
        <v>10</v>
      </c>
      <c r="C299" s="32" t="s">
        <v>200</v>
      </c>
      <c r="E299" s="17" t="str">
        <f t="shared" si="34"/>
        <v>00</v>
      </c>
      <c r="F299" s="17" t="str">
        <f t="shared" si="35"/>
        <v>000000000</v>
      </c>
      <c r="G299" s="38">
        <v>201708</v>
      </c>
      <c r="I299" s="47" t="s">
        <v>202</v>
      </c>
      <c r="K299" s="41">
        <f t="shared" si="39"/>
        <v>0</v>
      </c>
      <c r="L299" s="42">
        <f t="shared" si="36"/>
        <v>0</v>
      </c>
      <c r="M299" s="32" t="s">
        <v>203</v>
      </c>
      <c r="N299" s="17" t="str">
        <f t="shared" si="37"/>
        <v>0000</v>
      </c>
      <c r="O299" s="43" t="str">
        <f t="shared" si="41"/>
        <v>000000000</v>
      </c>
      <c r="P299" s="41" t="str">
        <f t="shared" si="38"/>
        <v>000000000</v>
      </c>
      <c r="Q299" s="44" t="s">
        <v>204</v>
      </c>
    </row>
    <row r="300" spans="1:17" x14ac:dyDescent="0.25">
      <c r="A300" s="36" t="str">
        <f t="shared" si="40"/>
        <v>10000000000201708110000000000000000028</v>
      </c>
      <c r="B300" s="37">
        <v>10</v>
      </c>
      <c r="C300" s="32" t="s">
        <v>200</v>
      </c>
      <c r="E300" s="17" t="str">
        <f t="shared" si="34"/>
        <v>00</v>
      </c>
      <c r="F300" s="17" t="str">
        <f t="shared" si="35"/>
        <v>000000000</v>
      </c>
      <c r="G300" s="38">
        <v>201708</v>
      </c>
      <c r="I300" s="47" t="s">
        <v>202</v>
      </c>
      <c r="K300" s="41">
        <f t="shared" si="39"/>
        <v>0</v>
      </c>
      <c r="L300" s="42">
        <f t="shared" si="36"/>
        <v>0</v>
      </c>
      <c r="M300" s="32" t="s">
        <v>203</v>
      </c>
      <c r="N300" s="17" t="str">
        <f t="shared" si="37"/>
        <v>0000</v>
      </c>
      <c r="O300" s="43" t="str">
        <f t="shared" si="41"/>
        <v>000000000</v>
      </c>
      <c r="P300" s="41" t="str">
        <f t="shared" si="38"/>
        <v>000000000</v>
      </c>
      <c r="Q300" s="44" t="s">
        <v>204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ilha5"/>
  <dimension ref="A1:Q139"/>
  <sheetViews>
    <sheetView workbookViewId="0">
      <selection activeCell="E2" sqref="E2"/>
    </sheetView>
  </sheetViews>
  <sheetFormatPr defaultRowHeight="15" x14ac:dyDescent="0.25"/>
  <cols>
    <col min="1" max="1" width="5.140625" bestFit="1" customWidth="1"/>
    <col min="2" max="2" width="38.5703125" bestFit="1" customWidth="1"/>
    <col min="3" max="3" width="10.42578125" style="20" bestFit="1" customWidth="1"/>
    <col min="4" max="4" width="14.7109375" style="20" bestFit="1" customWidth="1"/>
    <col min="5" max="5" width="8.140625" style="20" bestFit="1" customWidth="1"/>
  </cols>
  <sheetData>
    <row r="1" spans="1:17" ht="15.75" x14ac:dyDescent="0.25">
      <c r="A1" t="s">
        <v>207</v>
      </c>
      <c r="B1" t="s">
        <v>208</v>
      </c>
      <c r="C1" s="9" t="s">
        <v>142</v>
      </c>
      <c r="D1" s="10" t="s">
        <v>143</v>
      </c>
      <c r="E1" s="8" t="s">
        <v>141</v>
      </c>
    </row>
    <row r="2" spans="1:17" x14ac:dyDescent="0.25">
      <c r="C2" s="32" t="s">
        <v>205</v>
      </c>
      <c r="D2" s="32" t="s">
        <v>206</v>
      </c>
      <c r="E2" s="32" t="s">
        <v>201</v>
      </c>
    </row>
    <row r="3" spans="1:17" x14ac:dyDescent="0.25">
      <c r="A3">
        <v>5</v>
      </c>
      <c r="B3" t="s">
        <v>145</v>
      </c>
      <c r="C3" s="20">
        <v>0</v>
      </c>
      <c r="D3" s="20">
        <v>1.5277777777777777E-2</v>
      </c>
      <c r="E3" s="49">
        <v>1.2625</v>
      </c>
      <c r="G3">
        <v>5</v>
      </c>
      <c r="H3" s="32" t="s">
        <v>205</v>
      </c>
      <c r="I3" s="20">
        <v>0</v>
      </c>
      <c r="K3">
        <v>5</v>
      </c>
      <c r="L3" s="32" t="s">
        <v>206</v>
      </c>
      <c r="M3" s="20">
        <v>1.5277777777777777E-2</v>
      </c>
      <c r="O3">
        <v>5</v>
      </c>
      <c r="P3" s="32" t="s">
        <v>201</v>
      </c>
      <c r="Q3" s="49">
        <v>1.2625</v>
      </c>
    </row>
    <row r="4" spans="1:17" x14ac:dyDescent="0.25">
      <c r="A4">
        <v>51</v>
      </c>
      <c r="B4" t="s">
        <v>146</v>
      </c>
      <c r="C4" s="20">
        <v>0</v>
      </c>
      <c r="D4" s="20">
        <v>0.18611111111111112</v>
      </c>
      <c r="E4" s="20">
        <v>9.9999999999999992E-2</v>
      </c>
      <c r="G4">
        <v>51</v>
      </c>
      <c r="H4" s="32" t="s">
        <v>205</v>
      </c>
      <c r="I4" s="20">
        <v>0</v>
      </c>
      <c r="K4">
        <v>51</v>
      </c>
      <c r="L4" s="32" t="s">
        <v>206</v>
      </c>
      <c r="M4" s="20">
        <v>0.18611111111111112</v>
      </c>
      <c r="O4">
        <v>51</v>
      </c>
      <c r="P4" s="32" t="s">
        <v>201</v>
      </c>
      <c r="Q4" s="20">
        <v>9.9999999999999992E-2</v>
      </c>
    </row>
    <row r="5" spans="1:17" x14ac:dyDescent="0.25">
      <c r="A5">
        <v>50</v>
      </c>
      <c r="B5" t="s">
        <v>147</v>
      </c>
      <c r="C5" s="20">
        <v>0</v>
      </c>
      <c r="D5" s="20">
        <v>0</v>
      </c>
      <c r="E5" s="20">
        <v>0.16180555555555556</v>
      </c>
      <c r="G5">
        <v>50</v>
      </c>
      <c r="H5" s="32" t="s">
        <v>205</v>
      </c>
      <c r="I5" s="20">
        <v>0</v>
      </c>
      <c r="K5">
        <v>50</v>
      </c>
      <c r="L5" s="32" t="s">
        <v>206</v>
      </c>
      <c r="M5" s="20">
        <v>0</v>
      </c>
      <c r="O5">
        <v>50</v>
      </c>
      <c r="P5" s="32" t="s">
        <v>201</v>
      </c>
      <c r="Q5" s="20">
        <v>0.16180555555555556</v>
      </c>
    </row>
    <row r="6" spans="1:17" x14ac:dyDescent="0.25">
      <c r="A6">
        <v>73</v>
      </c>
      <c r="B6" t="s">
        <v>148</v>
      </c>
      <c r="C6" s="20">
        <v>8.9583333333333334E-2</v>
      </c>
      <c r="D6" s="20">
        <v>9.7222222222222224E-3</v>
      </c>
      <c r="E6" s="20">
        <v>0.12638888888888888</v>
      </c>
      <c r="G6">
        <v>73</v>
      </c>
      <c r="H6" s="32" t="s">
        <v>205</v>
      </c>
      <c r="I6" s="20">
        <v>8.9583333333333334E-2</v>
      </c>
      <c r="K6">
        <v>73</v>
      </c>
      <c r="L6" s="32" t="s">
        <v>206</v>
      </c>
      <c r="M6" s="20">
        <v>9.7222222222222224E-3</v>
      </c>
      <c r="O6">
        <v>73</v>
      </c>
      <c r="P6" s="32" t="s">
        <v>201</v>
      </c>
      <c r="Q6" s="20">
        <v>0.12638888888888888</v>
      </c>
    </row>
    <row r="7" spans="1:17" x14ac:dyDescent="0.25">
      <c r="A7">
        <v>33</v>
      </c>
      <c r="B7" t="s">
        <v>149</v>
      </c>
      <c r="C7" s="20">
        <v>0.10833333333333334</v>
      </c>
      <c r="D7" s="20">
        <v>3.125E-2</v>
      </c>
      <c r="E7" s="20">
        <v>6.0416666666666667E-2</v>
      </c>
      <c r="G7">
        <v>33</v>
      </c>
      <c r="H7" s="32" t="s">
        <v>205</v>
      </c>
      <c r="I7" s="20">
        <v>0.10833333333333334</v>
      </c>
      <c r="K7">
        <v>33</v>
      </c>
      <c r="L7" s="32" t="s">
        <v>206</v>
      </c>
      <c r="M7" s="20">
        <v>3.125E-2</v>
      </c>
      <c r="O7">
        <v>33</v>
      </c>
      <c r="P7" s="32" t="s">
        <v>201</v>
      </c>
      <c r="Q7" s="20">
        <v>6.0416666666666667E-2</v>
      </c>
    </row>
    <row r="8" spans="1:17" x14ac:dyDescent="0.25">
      <c r="A8">
        <v>72</v>
      </c>
      <c r="B8" t="s">
        <v>150</v>
      </c>
      <c r="C8" s="20">
        <v>0.10208333333333335</v>
      </c>
      <c r="D8" s="20">
        <v>5.2083333333333336E-2</v>
      </c>
      <c r="E8" s="20">
        <v>6.1111111111111116E-2</v>
      </c>
      <c r="G8">
        <v>72</v>
      </c>
      <c r="H8" s="32" t="s">
        <v>205</v>
      </c>
      <c r="I8" s="20">
        <v>0.10208333333333335</v>
      </c>
      <c r="K8">
        <v>72</v>
      </c>
      <c r="L8" s="32" t="s">
        <v>206</v>
      </c>
      <c r="M8" s="20">
        <v>5.2083333333333336E-2</v>
      </c>
      <c r="O8">
        <v>72</v>
      </c>
      <c r="P8" s="32" t="s">
        <v>201</v>
      </c>
      <c r="Q8" s="20">
        <v>6.1111111111111116E-2</v>
      </c>
    </row>
    <row r="9" spans="1:17" x14ac:dyDescent="0.25">
      <c r="A9">
        <v>7</v>
      </c>
      <c r="B9" t="s">
        <v>151</v>
      </c>
      <c r="C9" s="20">
        <v>0</v>
      </c>
      <c r="D9" s="20">
        <v>0</v>
      </c>
      <c r="E9" s="20">
        <v>8.7500000000000008E-2</v>
      </c>
      <c r="G9">
        <v>7</v>
      </c>
      <c r="H9" s="32" t="s">
        <v>205</v>
      </c>
      <c r="I9" s="20">
        <v>0</v>
      </c>
      <c r="K9">
        <v>7</v>
      </c>
      <c r="L9" s="32" t="s">
        <v>206</v>
      </c>
      <c r="M9" s="20">
        <v>0</v>
      </c>
      <c r="O9">
        <v>7</v>
      </c>
      <c r="P9" s="32" t="s">
        <v>201</v>
      </c>
      <c r="Q9" s="20">
        <v>8.7500000000000008E-2</v>
      </c>
    </row>
    <row r="10" spans="1:17" x14ac:dyDescent="0.25">
      <c r="A10">
        <v>19</v>
      </c>
      <c r="B10" t="s">
        <v>152</v>
      </c>
      <c r="C10" s="20">
        <v>0</v>
      </c>
      <c r="D10" s="20">
        <v>0.14097222222222222</v>
      </c>
      <c r="E10" s="20">
        <v>4.027777777777778E-2</v>
      </c>
      <c r="G10">
        <v>19</v>
      </c>
      <c r="H10" s="32" t="s">
        <v>205</v>
      </c>
      <c r="I10" s="20">
        <v>0</v>
      </c>
      <c r="K10">
        <v>19</v>
      </c>
      <c r="L10" s="32" t="s">
        <v>206</v>
      </c>
      <c r="M10" s="20">
        <v>0.14097222222222222</v>
      </c>
      <c r="O10">
        <v>19</v>
      </c>
      <c r="P10" s="32" t="s">
        <v>201</v>
      </c>
      <c r="Q10" s="20">
        <v>4.027777777777778E-2</v>
      </c>
    </row>
    <row r="11" spans="1:17" x14ac:dyDescent="0.25">
      <c r="A11">
        <v>15</v>
      </c>
      <c r="B11" t="s">
        <v>153</v>
      </c>
      <c r="C11" s="20">
        <v>0</v>
      </c>
      <c r="D11" s="20">
        <v>1.5972222222222224E-2</v>
      </c>
      <c r="E11" s="20">
        <v>2.5694444444444447E-2</v>
      </c>
      <c r="G11">
        <v>15</v>
      </c>
      <c r="H11" s="32" t="s">
        <v>205</v>
      </c>
      <c r="I11" s="20">
        <v>0</v>
      </c>
      <c r="K11">
        <v>15</v>
      </c>
      <c r="L11" s="32" t="s">
        <v>206</v>
      </c>
      <c r="M11" s="20">
        <v>1.5972222222222224E-2</v>
      </c>
      <c r="O11">
        <v>15</v>
      </c>
      <c r="P11" s="32" t="s">
        <v>201</v>
      </c>
      <c r="Q11" s="20">
        <v>2.5694444444444447E-2</v>
      </c>
    </row>
    <row r="12" spans="1:17" x14ac:dyDescent="0.25">
      <c r="A12">
        <v>70</v>
      </c>
      <c r="B12" t="s">
        <v>154</v>
      </c>
      <c r="C12" s="20">
        <v>4.5138888888888888E-2</v>
      </c>
      <c r="D12" s="20">
        <v>0</v>
      </c>
      <c r="E12" s="20">
        <v>6.5277777777777782E-2</v>
      </c>
      <c r="G12">
        <v>70</v>
      </c>
      <c r="H12" s="32" t="s">
        <v>205</v>
      </c>
      <c r="I12" s="20">
        <v>4.5138888888888888E-2</v>
      </c>
      <c r="K12">
        <v>70</v>
      </c>
      <c r="L12" s="32" t="s">
        <v>206</v>
      </c>
      <c r="M12" s="20">
        <v>0</v>
      </c>
      <c r="O12">
        <v>70</v>
      </c>
      <c r="P12" s="32" t="s">
        <v>201</v>
      </c>
      <c r="Q12" s="20">
        <v>6.5277777777777782E-2</v>
      </c>
    </row>
    <row r="13" spans="1:17" x14ac:dyDescent="0.25">
      <c r="A13">
        <v>24</v>
      </c>
      <c r="B13" t="s">
        <v>155</v>
      </c>
      <c r="C13" s="20">
        <v>0</v>
      </c>
      <c r="D13" s="20">
        <v>9.7222222222222224E-3</v>
      </c>
      <c r="E13" s="20">
        <v>4.6527777777777779E-2</v>
      </c>
      <c r="G13">
        <v>24</v>
      </c>
      <c r="H13" s="32" t="s">
        <v>205</v>
      </c>
      <c r="I13" s="20">
        <v>0</v>
      </c>
      <c r="K13">
        <v>24</v>
      </c>
      <c r="L13" s="32" t="s">
        <v>206</v>
      </c>
      <c r="M13" s="20">
        <v>9.7222222222222224E-3</v>
      </c>
      <c r="O13">
        <v>24</v>
      </c>
      <c r="P13" s="32" t="s">
        <v>201</v>
      </c>
      <c r="Q13" s="20">
        <v>4.6527777777777779E-2</v>
      </c>
    </row>
    <row r="14" spans="1:17" x14ac:dyDescent="0.25">
      <c r="A14">
        <v>71</v>
      </c>
      <c r="B14" t="s">
        <v>156</v>
      </c>
      <c r="C14" s="20">
        <v>9.4444444444444442E-2</v>
      </c>
      <c r="D14" s="20">
        <v>9.7222222222222224E-3</v>
      </c>
      <c r="E14" s="20">
        <v>5.6944444444444443E-2</v>
      </c>
      <c r="G14">
        <v>71</v>
      </c>
      <c r="H14" s="32" t="s">
        <v>205</v>
      </c>
      <c r="I14" s="20">
        <v>9.4444444444444442E-2</v>
      </c>
      <c r="K14">
        <v>71</v>
      </c>
      <c r="L14" s="32" t="s">
        <v>206</v>
      </c>
      <c r="M14" s="20">
        <v>9.7222222222222224E-3</v>
      </c>
      <c r="O14">
        <v>71</v>
      </c>
      <c r="P14" s="32" t="s">
        <v>201</v>
      </c>
      <c r="Q14" s="20">
        <v>5.6944444444444443E-2</v>
      </c>
    </row>
    <row r="15" spans="1:17" x14ac:dyDescent="0.25">
      <c r="A15">
        <v>34</v>
      </c>
      <c r="B15" t="s">
        <v>157</v>
      </c>
      <c r="C15" s="20">
        <v>0</v>
      </c>
      <c r="D15" s="20">
        <v>2.5694444444444447E-2</v>
      </c>
      <c r="E15" s="20">
        <v>1.5277777777777777E-2</v>
      </c>
      <c r="G15">
        <v>34</v>
      </c>
      <c r="H15" s="32" t="s">
        <v>205</v>
      </c>
      <c r="I15" s="20">
        <v>0</v>
      </c>
      <c r="K15">
        <v>34</v>
      </c>
      <c r="L15" s="32" t="s">
        <v>206</v>
      </c>
      <c r="M15" s="20">
        <v>2.5694444444444447E-2</v>
      </c>
      <c r="O15">
        <v>34</v>
      </c>
      <c r="P15" s="32" t="s">
        <v>201</v>
      </c>
      <c r="Q15" s="20">
        <v>1.5277777777777777E-2</v>
      </c>
    </row>
    <row r="16" spans="1:17" x14ac:dyDescent="0.25">
      <c r="A16">
        <v>9</v>
      </c>
      <c r="B16" t="s">
        <v>158</v>
      </c>
      <c r="C16" s="20">
        <v>0</v>
      </c>
      <c r="D16" s="20">
        <v>0</v>
      </c>
      <c r="E16" s="20">
        <v>0</v>
      </c>
      <c r="G16">
        <v>9</v>
      </c>
      <c r="H16" s="32" t="s">
        <v>205</v>
      </c>
      <c r="I16" s="20">
        <v>0</v>
      </c>
      <c r="K16">
        <v>9</v>
      </c>
      <c r="L16" s="32" t="s">
        <v>206</v>
      </c>
      <c r="M16" s="20">
        <v>0</v>
      </c>
      <c r="O16">
        <v>9</v>
      </c>
      <c r="P16" s="32" t="s">
        <v>201</v>
      </c>
      <c r="Q16" s="20">
        <v>0</v>
      </c>
    </row>
    <row r="17" spans="1:17" x14ac:dyDescent="0.25">
      <c r="A17">
        <v>35</v>
      </c>
      <c r="B17" t="s">
        <v>159</v>
      </c>
      <c r="C17" s="20">
        <v>0</v>
      </c>
      <c r="D17" s="20">
        <v>1.3888888888888888E-2</v>
      </c>
      <c r="E17" s="20">
        <v>3.125E-2</v>
      </c>
      <c r="G17">
        <v>35</v>
      </c>
      <c r="H17" s="32" t="s">
        <v>205</v>
      </c>
      <c r="I17" s="20">
        <v>0</v>
      </c>
      <c r="K17">
        <v>35</v>
      </c>
      <c r="L17" s="32" t="s">
        <v>206</v>
      </c>
      <c r="M17" s="20">
        <v>1.3888888888888888E-2</v>
      </c>
      <c r="O17">
        <v>35</v>
      </c>
      <c r="P17" s="32" t="s">
        <v>201</v>
      </c>
      <c r="Q17" s="20">
        <v>3.125E-2</v>
      </c>
    </row>
    <row r="18" spans="1:17" x14ac:dyDescent="0.25">
      <c r="A18">
        <v>43</v>
      </c>
      <c r="B18" t="s">
        <v>160</v>
      </c>
      <c r="C18" s="20">
        <v>0</v>
      </c>
      <c r="D18" s="20">
        <v>0</v>
      </c>
      <c r="E18" s="20">
        <v>0.17777777777777778</v>
      </c>
      <c r="G18">
        <v>43</v>
      </c>
      <c r="H18" s="32" t="s">
        <v>205</v>
      </c>
      <c r="I18" s="20">
        <v>0</v>
      </c>
      <c r="K18">
        <v>43</v>
      </c>
      <c r="L18" s="32" t="s">
        <v>206</v>
      </c>
      <c r="M18" s="20">
        <v>0</v>
      </c>
      <c r="O18">
        <v>43</v>
      </c>
      <c r="P18" s="32" t="s">
        <v>201</v>
      </c>
      <c r="Q18" s="20">
        <v>0.17777777777777778</v>
      </c>
    </row>
    <row r="19" spans="1:17" x14ac:dyDescent="0.25">
      <c r="A19">
        <v>77</v>
      </c>
      <c r="B19" t="s">
        <v>84</v>
      </c>
      <c r="C19" s="20">
        <v>0</v>
      </c>
      <c r="D19" s="20">
        <v>0</v>
      </c>
      <c r="E19" s="20">
        <v>3.5416666666666666E-2</v>
      </c>
      <c r="G19">
        <v>77</v>
      </c>
      <c r="H19" s="32" t="s">
        <v>205</v>
      </c>
      <c r="I19" s="20">
        <v>0</v>
      </c>
      <c r="K19">
        <v>77</v>
      </c>
      <c r="L19" s="32" t="s">
        <v>206</v>
      </c>
      <c r="M19" s="20">
        <v>0</v>
      </c>
      <c r="O19">
        <v>77</v>
      </c>
      <c r="P19" s="32" t="s">
        <v>201</v>
      </c>
      <c r="Q19" s="20">
        <v>3.5416666666666666E-2</v>
      </c>
    </row>
    <row r="20" spans="1:17" x14ac:dyDescent="0.25">
      <c r="A20">
        <v>42</v>
      </c>
      <c r="B20" t="s">
        <v>161</v>
      </c>
      <c r="C20" s="20">
        <v>0</v>
      </c>
      <c r="D20" s="20">
        <v>2.4305555555555556E-2</v>
      </c>
      <c r="E20" s="20">
        <v>0.18333333333333335</v>
      </c>
      <c r="G20">
        <v>42</v>
      </c>
      <c r="H20" s="32" t="s">
        <v>205</v>
      </c>
      <c r="I20" s="20">
        <v>0</v>
      </c>
      <c r="K20">
        <v>42</v>
      </c>
      <c r="L20" s="32" t="s">
        <v>206</v>
      </c>
      <c r="M20" s="20">
        <v>2.4305555555555556E-2</v>
      </c>
      <c r="O20">
        <v>42</v>
      </c>
      <c r="P20" s="32" t="s">
        <v>201</v>
      </c>
      <c r="Q20" s="20">
        <v>0.18333333333333335</v>
      </c>
    </row>
    <row r="21" spans="1:17" x14ac:dyDescent="0.25">
      <c r="A21">
        <v>44</v>
      </c>
      <c r="B21" t="s">
        <v>162</v>
      </c>
      <c r="C21" s="20">
        <v>0</v>
      </c>
      <c r="D21" s="20">
        <v>0.29305555555555557</v>
      </c>
      <c r="E21" s="20">
        <v>2.9861111111111113E-2</v>
      </c>
      <c r="G21">
        <v>44</v>
      </c>
      <c r="H21" s="32" t="s">
        <v>205</v>
      </c>
      <c r="I21" s="20">
        <v>0</v>
      </c>
      <c r="K21">
        <v>44</v>
      </c>
      <c r="L21" s="32" t="s">
        <v>206</v>
      </c>
      <c r="M21" s="20">
        <v>0.29305555555555557</v>
      </c>
      <c r="O21">
        <v>44</v>
      </c>
      <c r="P21" s="32" t="s">
        <v>201</v>
      </c>
      <c r="Q21" s="20">
        <v>2.9861111111111113E-2</v>
      </c>
    </row>
    <row r="22" spans="1:17" x14ac:dyDescent="0.25">
      <c r="A22">
        <v>39</v>
      </c>
      <c r="B22" t="s">
        <v>163</v>
      </c>
      <c r="C22" s="20">
        <v>0</v>
      </c>
      <c r="D22" s="20">
        <v>1.5277777777777777E-2</v>
      </c>
      <c r="E22" s="20">
        <v>6.9444444444444441E-3</v>
      </c>
      <c r="G22">
        <v>39</v>
      </c>
      <c r="H22" s="32" t="s">
        <v>205</v>
      </c>
      <c r="I22" s="20">
        <v>0</v>
      </c>
      <c r="K22">
        <v>39</v>
      </c>
      <c r="L22" s="32" t="s">
        <v>206</v>
      </c>
      <c r="M22" s="20">
        <v>1.5277777777777777E-2</v>
      </c>
      <c r="O22">
        <v>39</v>
      </c>
      <c r="P22" s="32" t="s">
        <v>201</v>
      </c>
      <c r="Q22" s="20">
        <v>6.9444444444444441E-3</v>
      </c>
    </row>
    <row r="23" spans="1:17" x14ac:dyDescent="0.25">
      <c r="A23">
        <v>14</v>
      </c>
      <c r="B23" t="s">
        <v>164</v>
      </c>
      <c r="C23" s="20">
        <v>0</v>
      </c>
      <c r="D23" s="20">
        <v>3.6111111111111115E-2</v>
      </c>
      <c r="E23" s="20">
        <v>0</v>
      </c>
      <c r="G23">
        <v>14</v>
      </c>
      <c r="H23" s="32" t="s">
        <v>205</v>
      </c>
      <c r="I23" s="20">
        <v>0</v>
      </c>
      <c r="K23">
        <v>14</v>
      </c>
      <c r="L23" s="32" t="s">
        <v>206</v>
      </c>
      <c r="M23" s="20">
        <v>3.6111111111111115E-2</v>
      </c>
      <c r="O23">
        <v>14</v>
      </c>
      <c r="P23" s="32" t="s">
        <v>201</v>
      </c>
      <c r="Q23" s="20">
        <v>0</v>
      </c>
    </row>
    <row r="24" spans="1:17" x14ac:dyDescent="0.25">
      <c r="A24">
        <v>40</v>
      </c>
      <c r="B24" t="s">
        <v>165</v>
      </c>
      <c r="C24" s="20">
        <v>0</v>
      </c>
      <c r="D24" s="20">
        <v>6.3194444444444442E-2</v>
      </c>
      <c r="E24" s="20">
        <v>1.2499999999999999E-2</v>
      </c>
      <c r="G24">
        <v>40</v>
      </c>
      <c r="H24" s="32" t="s">
        <v>205</v>
      </c>
      <c r="I24" s="20">
        <v>0</v>
      </c>
      <c r="K24">
        <v>40</v>
      </c>
      <c r="L24" s="32" t="s">
        <v>206</v>
      </c>
      <c r="M24" s="20">
        <v>6.3194444444444442E-2</v>
      </c>
      <c r="O24">
        <v>40</v>
      </c>
      <c r="P24" s="32" t="s">
        <v>201</v>
      </c>
      <c r="Q24" s="20">
        <v>1.2499999999999999E-2</v>
      </c>
    </row>
    <row r="25" spans="1:17" x14ac:dyDescent="0.25">
      <c r="A25">
        <v>69</v>
      </c>
      <c r="B25" t="s">
        <v>166</v>
      </c>
      <c r="C25" s="20">
        <v>9.7916666666666666E-2</v>
      </c>
      <c r="D25" s="20">
        <v>5.4166666666666669E-2</v>
      </c>
      <c r="E25" s="20">
        <v>2.9166666666666664E-2</v>
      </c>
      <c r="G25">
        <v>69</v>
      </c>
      <c r="H25" s="32" t="s">
        <v>205</v>
      </c>
      <c r="I25" s="20">
        <v>9.7916666666666666E-2</v>
      </c>
      <c r="K25">
        <v>69</v>
      </c>
      <c r="L25" s="32" t="s">
        <v>206</v>
      </c>
      <c r="M25" s="20">
        <v>5.4166666666666669E-2</v>
      </c>
      <c r="O25">
        <v>69</v>
      </c>
      <c r="P25" s="32" t="s">
        <v>201</v>
      </c>
      <c r="Q25" s="20">
        <v>2.9166666666666664E-2</v>
      </c>
    </row>
    <row r="26" spans="1:17" x14ac:dyDescent="0.25">
      <c r="A26">
        <v>1</v>
      </c>
      <c r="B26" t="s">
        <v>167</v>
      </c>
      <c r="C26" s="20">
        <v>0</v>
      </c>
      <c r="D26" s="20">
        <v>0</v>
      </c>
      <c r="E26" s="20">
        <v>0</v>
      </c>
      <c r="G26">
        <v>1</v>
      </c>
      <c r="H26" s="32" t="s">
        <v>205</v>
      </c>
      <c r="I26" s="20">
        <v>0</v>
      </c>
      <c r="K26">
        <v>1</v>
      </c>
      <c r="L26" s="32" t="s">
        <v>206</v>
      </c>
      <c r="M26" s="20">
        <v>0</v>
      </c>
      <c r="O26">
        <v>1</v>
      </c>
      <c r="P26" s="32" t="s">
        <v>201</v>
      </c>
      <c r="Q26" s="20">
        <v>0</v>
      </c>
    </row>
    <row r="27" spans="1:17" x14ac:dyDescent="0.25">
      <c r="A27">
        <v>76</v>
      </c>
      <c r="B27" t="s">
        <v>168</v>
      </c>
      <c r="C27" s="20">
        <v>0</v>
      </c>
      <c r="D27" s="20">
        <v>3.8194444444444441E-2</v>
      </c>
      <c r="E27" s="20">
        <v>1.5277777777777777E-2</v>
      </c>
      <c r="G27">
        <v>76</v>
      </c>
      <c r="H27" s="32" t="s">
        <v>205</v>
      </c>
      <c r="I27" s="20">
        <v>0</v>
      </c>
      <c r="K27">
        <v>76</v>
      </c>
      <c r="L27" s="32" t="s">
        <v>206</v>
      </c>
      <c r="M27" s="20">
        <v>3.8194444444444441E-2</v>
      </c>
      <c r="O27">
        <v>76</v>
      </c>
      <c r="P27" s="32" t="s">
        <v>201</v>
      </c>
      <c r="Q27" s="20">
        <v>1.5277777777777777E-2</v>
      </c>
    </row>
    <row r="28" spans="1:17" x14ac:dyDescent="0.25">
      <c r="A28">
        <v>36</v>
      </c>
      <c r="B28" t="s">
        <v>169</v>
      </c>
      <c r="C28" s="20">
        <v>0</v>
      </c>
      <c r="D28" s="20">
        <v>7.9861111111111105E-2</v>
      </c>
      <c r="E28" s="20">
        <v>7.6388888888888886E-3</v>
      </c>
      <c r="G28">
        <v>36</v>
      </c>
      <c r="H28" s="32" t="s">
        <v>205</v>
      </c>
      <c r="I28" s="20">
        <v>0</v>
      </c>
      <c r="K28">
        <v>36</v>
      </c>
      <c r="L28" s="32" t="s">
        <v>206</v>
      </c>
      <c r="M28" s="20">
        <v>7.9861111111111105E-2</v>
      </c>
      <c r="O28">
        <v>36</v>
      </c>
      <c r="P28" s="32" t="s">
        <v>201</v>
      </c>
      <c r="Q28" s="20">
        <v>7.6388888888888886E-3</v>
      </c>
    </row>
    <row r="29" spans="1:17" x14ac:dyDescent="0.25">
      <c r="A29">
        <v>3</v>
      </c>
      <c r="B29" t="s">
        <v>170</v>
      </c>
      <c r="C29" s="20">
        <v>0</v>
      </c>
      <c r="D29" s="20">
        <v>2.5694444444444447E-2</v>
      </c>
      <c r="E29" s="20">
        <v>5.1388888888888894E-2</v>
      </c>
      <c r="G29">
        <v>3</v>
      </c>
      <c r="H29" s="32" t="s">
        <v>205</v>
      </c>
      <c r="I29" s="20">
        <v>0</v>
      </c>
      <c r="K29">
        <v>3</v>
      </c>
      <c r="L29" s="32" t="s">
        <v>206</v>
      </c>
      <c r="M29" s="20">
        <v>2.5694444444444447E-2</v>
      </c>
      <c r="O29">
        <v>3</v>
      </c>
      <c r="P29" s="32" t="s">
        <v>201</v>
      </c>
      <c r="Q29" s="20">
        <v>5.1388888888888894E-2</v>
      </c>
    </row>
    <row r="30" spans="1:17" x14ac:dyDescent="0.25">
      <c r="A30">
        <v>17</v>
      </c>
      <c r="B30" t="s">
        <v>171</v>
      </c>
      <c r="C30" s="20">
        <v>0</v>
      </c>
      <c r="D30" s="20">
        <v>1.4583333333333332E-2</v>
      </c>
      <c r="E30" s="20">
        <v>2.9166666666666664E-2</v>
      </c>
      <c r="G30">
        <v>17</v>
      </c>
      <c r="H30" s="32" t="s">
        <v>205</v>
      </c>
      <c r="I30" s="20">
        <v>0</v>
      </c>
      <c r="K30">
        <v>17</v>
      </c>
      <c r="L30" s="32" t="s">
        <v>206</v>
      </c>
      <c r="M30" s="20">
        <v>1.4583333333333332E-2</v>
      </c>
      <c r="O30">
        <v>17</v>
      </c>
      <c r="P30" s="32" t="s">
        <v>201</v>
      </c>
      <c r="Q30" s="20">
        <v>2.9166666666666664E-2</v>
      </c>
    </row>
    <row r="31" spans="1:17" x14ac:dyDescent="0.25">
      <c r="A31">
        <v>37</v>
      </c>
      <c r="B31" t="s">
        <v>172</v>
      </c>
      <c r="C31" s="20">
        <v>0</v>
      </c>
      <c r="D31" s="20">
        <v>6.9444444444444441E-3</v>
      </c>
      <c r="E31" s="20">
        <v>3.888888888888889E-2</v>
      </c>
      <c r="G31">
        <v>37</v>
      </c>
      <c r="H31" s="32" t="s">
        <v>205</v>
      </c>
      <c r="I31" s="20">
        <v>0</v>
      </c>
      <c r="K31">
        <v>37</v>
      </c>
      <c r="L31" s="32" t="s">
        <v>206</v>
      </c>
      <c r="M31" s="20">
        <v>6.9444444444444441E-3</v>
      </c>
      <c r="O31">
        <v>37</v>
      </c>
      <c r="P31" s="32" t="s">
        <v>201</v>
      </c>
      <c r="Q31" s="20">
        <v>3.888888888888889E-2</v>
      </c>
    </row>
    <row r="32" spans="1:17" x14ac:dyDescent="0.25">
      <c r="A32">
        <v>6</v>
      </c>
      <c r="B32" t="s">
        <v>173</v>
      </c>
      <c r="C32" s="20">
        <v>6.9444444444444447E-4</v>
      </c>
      <c r="D32" s="20">
        <v>8.3333333333333332E-3</v>
      </c>
      <c r="E32" s="20">
        <v>2.8472222222222222E-2</v>
      </c>
      <c r="G32">
        <v>6</v>
      </c>
      <c r="H32" s="32" t="s">
        <v>205</v>
      </c>
      <c r="I32" s="20">
        <v>6.9444444444444447E-4</v>
      </c>
      <c r="K32">
        <v>6</v>
      </c>
      <c r="L32" s="32" t="s">
        <v>206</v>
      </c>
      <c r="M32" s="20">
        <v>8.3333333333333332E-3</v>
      </c>
      <c r="O32">
        <v>6</v>
      </c>
      <c r="P32" s="32" t="s">
        <v>201</v>
      </c>
      <c r="Q32" s="20">
        <v>2.8472222222222222E-2</v>
      </c>
    </row>
    <row r="33" spans="1:17" x14ac:dyDescent="0.25">
      <c r="A33">
        <v>12</v>
      </c>
      <c r="B33" t="s">
        <v>174</v>
      </c>
      <c r="C33" s="20">
        <v>0</v>
      </c>
      <c r="D33" s="20">
        <v>9.375E-2</v>
      </c>
      <c r="E33" s="20">
        <v>0</v>
      </c>
      <c r="G33">
        <v>12</v>
      </c>
      <c r="H33" s="32" t="s">
        <v>205</v>
      </c>
      <c r="I33" s="20">
        <v>0</v>
      </c>
      <c r="K33">
        <v>12</v>
      </c>
      <c r="L33" s="32" t="s">
        <v>206</v>
      </c>
      <c r="M33" s="20">
        <v>9.375E-2</v>
      </c>
      <c r="O33">
        <v>12</v>
      </c>
      <c r="P33" s="32" t="s">
        <v>201</v>
      </c>
      <c r="Q33" s="20">
        <v>0</v>
      </c>
    </row>
    <row r="34" spans="1:17" x14ac:dyDescent="0.25">
      <c r="A34">
        <v>80</v>
      </c>
      <c r="B34" t="s">
        <v>175</v>
      </c>
      <c r="C34" s="20">
        <v>0</v>
      </c>
      <c r="D34" s="20">
        <v>1.3194444444444444E-2</v>
      </c>
      <c r="E34" s="20">
        <v>2.7777777777777776E-2</v>
      </c>
      <c r="G34">
        <v>80</v>
      </c>
      <c r="H34" s="32" t="s">
        <v>205</v>
      </c>
      <c r="I34" s="20">
        <v>0</v>
      </c>
      <c r="K34">
        <v>80</v>
      </c>
      <c r="L34" s="32" t="s">
        <v>206</v>
      </c>
      <c r="M34" s="20">
        <v>1.3194444444444444E-2</v>
      </c>
      <c r="O34">
        <v>80</v>
      </c>
      <c r="P34" s="32" t="s">
        <v>201</v>
      </c>
      <c r="Q34" s="20">
        <v>2.7777777777777776E-2</v>
      </c>
    </row>
    <row r="35" spans="1:17" x14ac:dyDescent="0.25">
      <c r="A35">
        <v>41</v>
      </c>
      <c r="B35" t="s">
        <v>176</v>
      </c>
      <c r="C35" s="20">
        <v>0</v>
      </c>
      <c r="D35" s="20">
        <v>0</v>
      </c>
      <c r="E35" s="20">
        <v>0</v>
      </c>
      <c r="G35">
        <v>41</v>
      </c>
      <c r="H35" s="32" t="s">
        <v>205</v>
      </c>
      <c r="I35" s="20">
        <v>0</v>
      </c>
      <c r="K35">
        <v>41</v>
      </c>
      <c r="L35" s="32" t="s">
        <v>206</v>
      </c>
      <c r="M35" s="20">
        <v>0</v>
      </c>
      <c r="O35">
        <v>41</v>
      </c>
      <c r="P35" s="32" t="s">
        <v>201</v>
      </c>
      <c r="Q35" s="20">
        <v>0</v>
      </c>
    </row>
    <row r="36" spans="1:17" x14ac:dyDescent="0.25">
      <c r="A36">
        <v>13</v>
      </c>
      <c r="B36" t="s">
        <v>177</v>
      </c>
      <c r="C36" s="20">
        <v>0</v>
      </c>
      <c r="D36" s="20">
        <v>0</v>
      </c>
      <c r="E36" s="20">
        <v>9.8611111111111108E-2</v>
      </c>
      <c r="G36">
        <v>13</v>
      </c>
      <c r="H36" s="32" t="s">
        <v>205</v>
      </c>
      <c r="I36" s="20">
        <v>0</v>
      </c>
      <c r="K36">
        <v>13</v>
      </c>
      <c r="L36" s="32" t="s">
        <v>206</v>
      </c>
      <c r="M36" s="20">
        <v>0</v>
      </c>
      <c r="O36">
        <v>13</v>
      </c>
      <c r="P36" s="32" t="s">
        <v>201</v>
      </c>
      <c r="Q36" s="20">
        <v>9.8611111111111108E-2</v>
      </c>
    </row>
    <row r="37" spans="1:17" x14ac:dyDescent="0.25">
      <c r="A37">
        <v>4</v>
      </c>
      <c r="B37" t="s">
        <v>178</v>
      </c>
      <c r="C37" s="20">
        <v>4.8611111111111112E-3</v>
      </c>
      <c r="D37" s="20">
        <v>0</v>
      </c>
      <c r="E37" s="20">
        <v>0.36944444444444446</v>
      </c>
      <c r="G37">
        <v>4</v>
      </c>
      <c r="H37" s="32" t="s">
        <v>205</v>
      </c>
      <c r="I37" s="20">
        <v>4.8611111111111112E-3</v>
      </c>
      <c r="K37">
        <v>4</v>
      </c>
      <c r="L37" s="32" t="s">
        <v>206</v>
      </c>
      <c r="M37" s="20">
        <v>0</v>
      </c>
      <c r="O37">
        <v>4</v>
      </c>
      <c r="P37" s="32" t="s">
        <v>201</v>
      </c>
      <c r="Q37" s="20">
        <v>0.36944444444444446</v>
      </c>
    </row>
    <row r="38" spans="1:17" x14ac:dyDescent="0.25">
      <c r="A38">
        <v>66</v>
      </c>
      <c r="B38" t="s">
        <v>179</v>
      </c>
      <c r="C38" s="20">
        <v>2.5694444444444447E-2</v>
      </c>
      <c r="D38" s="20">
        <v>0.14861111111111111</v>
      </c>
      <c r="E38" s="20">
        <v>4.7916666666666663E-2</v>
      </c>
      <c r="G38">
        <v>66</v>
      </c>
      <c r="H38" s="32" t="s">
        <v>205</v>
      </c>
      <c r="I38" s="20">
        <v>2.5694444444444447E-2</v>
      </c>
      <c r="K38">
        <v>66</v>
      </c>
      <c r="L38" s="32" t="s">
        <v>206</v>
      </c>
      <c r="M38" s="20">
        <v>0.14861111111111111</v>
      </c>
      <c r="O38">
        <v>66</v>
      </c>
      <c r="P38" s="32" t="s">
        <v>201</v>
      </c>
      <c r="Q38" s="20">
        <v>4.7916666666666663E-2</v>
      </c>
    </row>
    <row r="39" spans="1:17" x14ac:dyDescent="0.25">
      <c r="A39">
        <v>81</v>
      </c>
      <c r="B39" t="s">
        <v>186</v>
      </c>
      <c r="C39" s="20">
        <v>0</v>
      </c>
      <c r="D39" s="20">
        <v>6.9444444444444441E-3</v>
      </c>
      <c r="E39" s="20">
        <v>7.2916666666666671E-2</v>
      </c>
      <c r="G39">
        <v>81</v>
      </c>
      <c r="H39" s="32" t="s">
        <v>205</v>
      </c>
      <c r="I39" s="20">
        <v>0</v>
      </c>
      <c r="K39">
        <v>81</v>
      </c>
      <c r="L39" s="32" t="s">
        <v>206</v>
      </c>
      <c r="M39" s="20">
        <v>6.9444444444444441E-3</v>
      </c>
      <c r="O39">
        <v>81</v>
      </c>
      <c r="P39" s="32" t="s">
        <v>201</v>
      </c>
      <c r="Q39" s="20">
        <v>7.2916666666666671E-2</v>
      </c>
    </row>
    <row r="40" spans="1:17" x14ac:dyDescent="0.25">
      <c r="A40">
        <v>26</v>
      </c>
      <c r="B40" t="s">
        <v>180</v>
      </c>
      <c r="C40" s="20">
        <v>0</v>
      </c>
      <c r="D40" s="20">
        <v>0</v>
      </c>
      <c r="E40" s="20">
        <v>0.18888888888888888</v>
      </c>
      <c r="G40">
        <v>26</v>
      </c>
      <c r="H40" s="32" t="s">
        <v>205</v>
      </c>
      <c r="I40" s="20">
        <v>0</v>
      </c>
      <c r="K40">
        <v>26</v>
      </c>
      <c r="L40" s="32" t="s">
        <v>206</v>
      </c>
      <c r="M40" s="20">
        <v>0</v>
      </c>
      <c r="O40">
        <v>26</v>
      </c>
      <c r="P40" s="32" t="s">
        <v>201</v>
      </c>
      <c r="Q40" s="20">
        <v>0.18888888888888888</v>
      </c>
    </row>
    <row r="41" spans="1:17" x14ac:dyDescent="0.25">
      <c r="A41">
        <v>83</v>
      </c>
      <c r="B41" t="s">
        <v>185</v>
      </c>
      <c r="C41" s="20">
        <v>0</v>
      </c>
      <c r="D41" s="20">
        <v>0</v>
      </c>
      <c r="E41" s="20">
        <v>0</v>
      </c>
      <c r="G41">
        <v>83</v>
      </c>
      <c r="H41" s="32" t="s">
        <v>205</v>
      </c>
      <c r="I41" s="20">
        <v>0</v>
      </c>
      <c r="K41">
        <v>83</v>
      </c>
      <c r="L41" s="32" t="s">
        <v>206</v>
      </c>
      <c r="M41" s="20">
        <v>0</v>
      </c>
      <c r="O41">
        <v>83</v>
      </c>
      <c r="P41" s="32" t="s">
        <v>201</v>
      </c>
      <c r="Q41" s="20">
        <v>0</v>
      </c>
    </row>
    <row r="42" spans="1:17" x14ac:dyDescent="0.25">
      <c r="A42">
        <v>38</v>
      </c>
      <c r="B42" t="s">
        <v>181</v>
      </c>
      <c r="C42" s="20">
        <v>0</v>
      </c>
      <c r="D42" s="20">
        <v>0.16250000000000001</v>
      </c>
      <c r="E42" s="20">
        <v>4.2361111111111106E-2</v>
      </c>
      <c r="G42">
        <v>38</v>
      </c>
      <c r="H42" s="32" t="s">
        <v>205</v>
      </c>
      <c r="I42" s="20">
        <v>0</v>
      </c>
      <c r="K42">
        <v>38</v>
      </c>
      <c r="L42" s="32" t="s">
        <v>206</v>
      </c>
      <c r="M42" s="20">
        <v>0.16250000000000001</v>
      </c>
      <c r="O42">
        <v>38</v>
      </c>
      <c r="P42" s="32" t="s">
        <v>201</v>
      </c>
      <c r="Q42" s="20">
        <v>4.2361111111111106E-2</v>
      </c>
    </row>
    <row r="43" spans="1:17" x14ac:dyDescent="0.25">
      <c r="A43">
        <v>64</v>
      </c>
      <c r="B43" t="s">
        <v>182</v>
      </c>
      <c r="C43" s="20">
        <v>0</v>
      </c>
      <c r="D43" s="20">
        <v>0.14097222222222222</v>
      </c>
      <c r="E43" s="20">
        <v>5.2777777777777778E-2</v>
      </c>
      <c r="G43">
        <v>64</v>
      </c>
      <c r="H43" s="32" t="s">
        <v>205</v>
      </c>
      <c r="I43" s="20">
        <v>0</v>
      </c>
      <c r="K43">
        <v>64</v>
      </c>
      <c r="L43" s="32" t="s">
        <v>206</v>
      </c>
      <c r="M43" s="20">
        <v>0.14097222222222222</v>
      </c>
      <c r="O43">
        <v>64</v>
      </c>
      <c r="P43" s="32" t="s">
        <v>201</v>
      </c>
      <c r="Q43" s="20">
        <v>5.2777777777777778E-2</v>
      </c>
    </row>
    <row r="44" spans="1:17" x14ac:dyDescent="0.25">
      <c r="A44">
        <v>49</v>
      </c>
      <c r="B44" t="s">
        <v>183</v>
      </c>
      <c r="C44" s="20">
        <v>6.458333333333334E-2</v>
      </c>
      <c r="D44" s="20">
        <v>6.3888888888888884E-2</v>
      </c>
      <c r="E44" s="20">
        <v>1.1805555555555555E-2</v>
      </c>
      <c r="G44">
        <v>49</v>
      </c>
      <c r="H44" s="32" t="s">
        <v>205</v>
      </c>
      <c r="I44" s="20">
        <v>6.458333333333334E-2</v>
      </c>
      <c r="K44">
        <v>49</v>
      </c>
      <c r="L44" s="32" t="s">
        <v>206</v>
      </c>
      <c r="M44" s="20">
        <v>6.3888888888888884E-2</v>
      </c>
      <c r="O44">
        <v>49</v>
      </c>
      <c r="P44" s="32" t="s">
        <v>201</v>
      </c>
      <c r="Q44" s="20">
        <v>1.1805555555555555E-2</v>
      </c>
    </row>
    <row r="45" spans="1:17" x14ac:dyDescent="0.25">
      <c r="A45">
        <v>16</v>
      </c>
      <c r="B45" t="s">
        <v>184</v>
      </c>
      <c r="C45" s="20">
        <v>0</v>
      </c>
      <c r="D45" s="20">
        <v>0</v>
      </c>
      <c r="E45" s="20">
        <v>3.2638888888888891E-2</v>
      </c>
      <c r="G45">
        <v>16</v>
      </c>
      <c r="H45" s="32" t="s">
        <v>205</v>
      </c>
      <c r="I45" s="20">
        <v>0</v>
      </c>
      <c r="K45">
        <v>16</v>
      </c>
      <c r="L45" s="32" t="s">
        <v>206</v>
      </c>
      <c r="M45" s="20">
        <v>0</v>
      </c>
      <c r="O45">
        <v>16</v>
      </c>
      <c r="P45" s="32" t="s">
        <v>201</v>
      </c>
      <c r="Q45" s="20">
        <v>3.2638888888888891E-2</v>
      </c>
    </row>
    <row r="46" spans="1:17" x14ac:dyDescent="0.25">
      <c r="G46">
        <v>5</v>
      </c>
      <c r="H46" s="32" t="s">
        <v>206</v>
      </c>
      <c r="I46" s="20">
        <v>1.5277777777777777E-2</v>
      </c>
      <c r="M46" s="20"/>
      <c r="Q46" s="20"/>
    </row>
    <row r="47" spans="1:17" x14ac:dyDescent="0.25">
      <c r="G47">
        <v>51</v>
      </c>
      <c r="H47" s="32" t="s">
        <v>206</v>
      </c>
      <c r="I47" s="20">
        <v>0.18611111111111112</v>
      </c>
      <c r="M47" s="20"/>
      <c r="Q47" s="20"/>
    </row>
    <row r="48" spans="1:17" x14ac:dyDescent="0.25">
      <c r="G48">
        <v>50</v>
      </c>
      <c r="H48" s="32" t="s">
        <v>206</v>
      </c>
      <c r="I48" s="20">
        <v>0</v>
      </c>
      <c r="M48" s="20"/>
      <c r="Q48" s="20"/>
    </row>
    <row r="49" spans="7:17" x14ac:dyDescent="0.25">
      <c r="G49">
        <v>73</v>
      </c>
      <c r="H49" s="32" t="s">
        <v>206</v>
      </c>
      <c r="I49" s="20">
        <v>9.7222222222222224E-3</v>
      </c>
      <c r="M49" s="20"/>
      <c r="Q49" s="20"/>
    </row>
    <row r="50" spans="7:17" x14ac:dyDescent="0.25">
      <c r="G50">
        <v>33</v>
      </c>
      <c r="H50" s="32" t="s">
        <v>206</v>
      </c>
      <c r="I50" s="20">
        <v>3.125E-2</v>
      </c>
      <c r="M50" s="20"/>
      <c r="Q50" s="20"/>
    </row>
    <row r="51" spans="7:17" x14ac:dyDescent="0.25">
      <c r="G51">
        <v>72</v>
      </c>
      <c r="H51" s="32" t="s">
        <v>206</v>
      </c>
      <c r="I51" s="20">
        <v>5.2083333333333336E-2</v>
      </c>
      <c r="M51" s="20"/>
      <c r="Q51" s="20"/>
    </row>
    <row r="52" spans="7:17" x14ac:dyDescent="0.25">
      <c r="G52">
        <v>7</v>
      </c>
      <c r="H52" s="32" t="s">
        <v>206</v>
      </c>
      <c r="I52" s="20">
        <v>0</v>
      </c>
      <c r="M52" s="20"/>
      <c r="Q52" s="20"/>
    </row>
    <row r="53" spans="7:17" x14ac:dyDescent="0.25">
      <c r="G53">
        <v>19</v>
      </c>
      <c r="H53" s="32" t="s">
        <v>206</v>
      </c>
      <c r="I53" s="20">
        <v>0.14097222222222222</v>
      </c>
      <c r="M53" s="20"/>
      <c r="Q53" s="20"/>
    </row>
    <row r="54" spans="7:17" x14ac:dyDescent="0.25">
      <c r="G54">
        <v>15</v>
      </c>
      <c r="H54" s="32" t="s">
        <v>206</v>
      </c>
      <c r="I54" s="20">
        <v>1.5972222222222224E-2</v>
      </c>
    </row>
    <row r="55" spans="7:17" x14ac:dyDescent="0.25">
      <c r="G55">
        <v>70</v>
      </c>
      <c r="H55" s="32" t="s">
        <v>206</v>
      </c>
      <c r="I55" s="20">
        <v>0</v>
      </c>
    </row>
    <row r="56" spans="7:17" x14ac:dyDescent="0.25">
      <c r="G56">
        <v>24</v>
      </c>
      <c r="H56" s="32" t="s">
        <v>206</v>
      </c>
      <c r="I56" s="20">
        <v>9.7222222222222224E-3</v>
      </c>
    </row>
    <row r="57" spans="7:17" x14ac:dyDescent="0.25">
      <c r="G57">
        <v>71</v>
      </c>
      <c r="H57" s="32" t="s">
        <v>206</v>
      </c>
      <c r="I57" s="20">
        <v>9.7222222222222224E-3</v>
      </c>
    </row>
    <row r="58" spans="7:17" x14ac:dyDescent="0.25">
      <c r="G58">
        <v>34</v>
      </c>
      <c r="H58" s="32" t="s">
        <v>206</v>
      </c>
      <c r="I58" s="20">
        <v>2.5694444444444447E-2</v>
      </c>
    </row>
    <row r="59" spans="7:17" x14ac:dyDescent="0.25">
      <c r="G59">
        <v>9</v>
      </c>
      <c r="H59" s="32" t="s">
        <v>206</v>
      </c>
      <c r="I59" s="20">
        <v>0</v>
      </c>
    </row>
    <row r="60" spans="7:17" x14ac:dyDescent="0.25">
      <c r="G60">
        <v>35</v>
      </c>
      <c r="H60" s="32" t="s">
        <v>206</v>
      </c>
      <c r="I60" s="20">
        <v>1.3888888888888888E-2</v>
      </c>
    </row>
    <row r="61" spans="7:17" x14ac:dyDescent="0.25">
      <c r="G61">
        <v>43</v>
      </c>
      <c r="H61" s="32" t="s">
        <v>206</v>
      </c>
      <c r="I61" s="20">
        <v>0</v>
      </c>
    </row>
    <row r="62" spans="7:17" x14ac:dyDescent="0.25">
      <c r="G62">
        <v>77</v>
      </c>
      <c r="H62" s="32" t="s">
        <v>206</v>
      </c>
      <c r="I62" s="20">
        <v>0</v>
      </c>
    </row>
    <row r="63" spans="7:17" x14ac:dyDescent="0.25">
      <c r="G63">
        <v>42</v>
      </c>
      <c r="H63" s="32" t="s">
        <v>206</v>
      </c>
      <c r="I63" s="20">
        <v>2.4305555555555556E-2</v>
      </c>
    </row>
    <row r="64" spans="7:17" x14ac:dyDescent="0.25">
      <c r="G64">
        <v>44</v>
      </c>
      <c r="H64" s="32" t="s">
        <v>206</v>
      </c>
      <c r="I64" s="20">
        <v>0.29305555555555557</v>
      </c>
    </row>
    <row r="65" spans="7:9" x14ac:dyDescent="0.25">
      <c r="G65">
        <v>39</v>
      </c>
      <c r="H65" s="32" t="s">
        <v>206</v>
      </c>
      <c r="I65" s="20">
        <v>1.5277777777777777E-2</v>
      </c>
    </row>
    <row r="66" spans="7:9" x14ac:dyDescent="0.25">
      <c r="G66">
        <v>14</v>
      </c>
      <c r="H66" s="32" t="s">
        <v>206</v>
      </c>
      <c r="I66" s="20">
        <v>3.6111111111111115E-2</v>
      </c>
    </row>
    <row r="67" spans="7:9" x14ac:dyDescent="0.25">
      <c r="G67">
        <v>40</v>
      </c>
      <c r="H67" s="32" t="s">
        <v>206</v>
      </c>
      <c r="I67" s="20">
        <v>6.3194444444444442E-2</v>
      </c>
    </row>
    <row r="68" spans="7:9" x14ac:dyDescent="0.25">
      <c r="G68">
        <v>69</v>
      </c>
      <c r="H68" s="32" t="s">
        <v>206</v>
      </c>
      <c r="I68" s="20">
        <v>5.4166666666666669E-2</v>
      </c>
    </row>
    <row r="69" spans="7:9" x14ac:dyDescent="0.25">
      <c r="G69">
        <v>1</v>
      </c>
      <c r="H69" s="32" t="s">
        <v>206</v>
      </c>
      <c r="I69" s="20">
        <v>0</v>
      </c>
    </row>
    <row r="70" spans="7:9" x14ac:dyDescent="0.25">
      <c r="G70">
        <v>76</v>
      </c>
      <c r="H70" s="32" t="s">
        <v>206</v>
      </c>
      <c r="I70" s="20">
        <v>3.8194444444444441E-2</v>
      </c>
    </row>
    <row r="71" spans="7:9" x14ac:dyDescent="0.25">
      <c r="G71">
        <v>36</v>
      </c>
      <c r="H71" s="32" t="s">
        <v>206</v>
      </c>
      <c r="I71" s="20">
        <v>7.9861111111111105E-2</v>
      </c>
    </row>
    <row r="72" spans="7:9" x14ac:dyDescent="0.25">
      <c r="G72">
        <v>3</v>
      </c>
      <c r="H72" s="32" t="s">
        <v>206</v>
      </c>
      <c r="I72" s="20">
        <v>2.5694444444444447E-2</v>
      </c>
    </row>
    <row r="73" spans="7:9" x14ac:dyDescent="0.25">
      <c r="G73">
        <v>17</v>
      </c>
      <c r="H73" s="32" t="s">
        <v>206</v>
      </c>
      <c r="I73" s="20">
        <v>1.4583333333333332E-2</v>
      </c>
    </row>
    <row r="74" spans="7:9" x14ac:dyDescent="0.25">
      <c r="G74">
        <v>37</v>
      </c>
      <c r="H74" s="32" t="s">
        <v>206</v>
      </c>
      <c r="I74" s="20">
        <v>6.9444444444444441E-3</v>
      </c>
    </row>
    <row r="75" spans="7:9" x14ac:dyDescent="0.25">
      <c r="G75">
        <v>6</v>
      </c>
      <c r="H75" s="32" t="s">
        <v>206</v>
      </c>
      <c r="I75" s="20">
        <v>8.3333333333333332E-3</v>
      </c>
    </row>
    <row r="76" spans="7:9" x14ac:dyDescent="0.25">
      <c r="G76">
        <v>12</v>
      </c>
      <c r="H76" s="32" t="s">
        <v>206</v>
      </c>
      <c r="I76" s="20">
        <v>9.375E-2</v>
      </c>
    </row>
    <row r="77" spans="7:9" x14ac:dyDescent="0.25">
      <c r="G77">
        <v>80</v>
      </c>
      <c r="H77" s="32" t="s">
        <v>206</v>
      </c>
      <c r="I77" s="20">
        <v>1.3194444444444444E-2</v>
      </c>
    </row>
    <row r="78" spans="7:9" x14ac:dyDescent="0.25">
      <c r="G78">
        <v>41</v>
      </c>
      <c r="H78" s="32" t="s">
        <v>206</v>
      </c>
      <c r="I78" s="20">
        <v>0</v>
      </c>
    </row>
    <row r="79" spans="7:9" x14ac:dyDescent="0.25">
      <c r="G79">
        <v>13</v>
      </c>
      <c r="H79" s="32" t="s">
        <v>206</v>
      </c>
      <c r="I79" s="20">
        <v>0</v>
      </c>
    </row>
    <row r="80" spans="7:9" x14ac:dyDescent="0.25">
      <c r="G80">
        <v>4</v>
      </c>
      <c r="H80" s="32" t="s">
        <v>206</v>
      </c>
      <c r="I80" s="20">
        <v>0</v>
      </c>
    </row>
    <row r="81" spans="7:9" x14ac:dyDescent="0.25">
      <c r="G81">
        <v>66</v>
      </c>
      <c r="H81" s="32" t="s">
        <v>206</v>
      </c>
      <c r="I81" s="20">
        <v>0.14861111111111111</v>
      </c>
    </row>
    <row r="82" spans="7:9" x14ac:dyDescent="0.25">
      <c r="G82">
        <v>81</v>
      </c>
      <c r="H82" s="32" t="s">
        <v>206</v>
      </c>
      <c r="I82" s="20">
        <v>6.9444444444444441E-3</v>
      </c>
    </row>
    <row r="83" spans="7:9" x14ac:dyDescent="0.25">
      <c r="G83">
        <v>26</v>
      </c>
      <c r="H83" s="32" t="s">
        <v>206</v>
      </c>
      <c r="I83" s="20">
        <v>0</v>
      </c>
    </row>
    <row r="84" spans="7:9" x14ac:dyDescent="0.25">
      <c r="G84">
        <v>83</v>
      </c>
      <c r="H84" s="32" t="s">
        <v>206</v>
      </c>
      <c r="I84" s="20">
        <v>0</v>
      </c>
    </row>
    <row r="85" spans="7:9" x14ac:dyDescent="0.25">
      <c r="G85">
        <v>38</v>
      </c>
      <c r="H85" s="32" t="s">
        <v>206</v>
      </c>
      <c r="I85" s="20">
        <v>0.16250000000000001</v>
      </c>
    </row>
    <row r="86" spans="7:9" x14ac:dyDescent="0.25">
      <c r="G86">
        <v>64</v>
      </c>
      <c r="H86" s="32" t="s">
        <v>206</v>
      </c>
      <c r="I86" s="20">
        <v>0.14097222222222222</v>
      </c>
    </row>
    <row r="87" spans="7:9" x14ac:dyDescent="0.25">
      <c r="G87">
        <v>49</v>
      </c>
      <c r="H87" s="32" t="s">
        <v>206</v>
      </c>
      <c r="I87" s="20">
        <v>6.3888888888888884E-2</v>
      </c>
    </row>
    <row r="88" spans="7:9" x14ac:dyDescent="0.25">
      <c r="G88">
        <v>16</v>
      </c>
      <c r="H88" s="32" t="s">
        <v>206</v>
      </c>
      <c r="I88" s="20">
        <v>0</v>
      </c>
    </row>
    <row r="89" spans="7:9" x14ac:dyDescent="0.25">
      <c r="G89">
        <v>5</v>
      </c>
      <c r="H89" s="32" t="s">
        <v>201</v>
      </c>
      <c r="I89" s="49">
        <v>1.2625</v>
      </c>
    </row>
    <row r="90" spans="7:9" x14ac:dyDescent="0.25">
      <c r="G90">
        <v>51</v>
      </c>
      <c r="H90" s="32" t="s">
        <v>201</v>
      </c>
      <c r="I90" s="20">
        <v>9.9999999999999992E-2</v>
      </c>
    </row>
    <row r="91" spans="7:9" x14ac:dyDescent="0.25">
      <c r="G91">
        <v>50</v>
      </c>
      <c r="H91" s="32" t="s">
        <v>201</v>
      </c>
      <c r="I91" s="20">
        <v>0.16180555555555556</v>
      </c>
    </row>
    <row r="92" spans="7:9" x14ac:dyDescent="0.25">
      <c r="G92">
        <v>73</v>
      </c>
      <c r="H92" s="32" t="s">
        <v>201</v>
      </c>
      <c r="I92" s="20">
        <v>0.12638888888888888</v>
      </c>
    </row>
    <row r="93" spans="7:9" x14ac:dyDescent="0.25">
      <c r="G93">
        <v>33</v>
      </c>
      <c r="H93" s="32" t="s">
        <v>201</v>
      </c>
      <c r="I93" s="20">
        <v>6.0416666666666667E-2</v>
      </c>
    </row>
    <row r="94" spans="7:9" x14ac:dyDescent="0.25">
      <c r="G94">
        <v>72</v>
      </c>
      <c r="H94" s="32" t="s">
        <v>201</v>
      </c>
      <c r="I94" s="20">
        <v>6.1111111111111116E-2</v>
      </c>
    </row>
    <row r="95" spans="7:9" x14ac:dyDescent="0.25">
      <c r="G95">
        <v>7</v>
      </c>
      <c r="H95" s="32" t="s">
        <v>201</v>
      </c>
      <c r="I95" s="20">
        <v>8.7500000000000008E-2</v>
      </c>
    </row>
    <row r="96" spans="7:9" x14ac:dyDescent="0.25">
      <c r="G96">
        <v>19</v>
      </c>
      <c r="H96" s="32" t="s">
        <v>201</v>
      </c>
      <c r="I96" s="20">
        <v>4.027777777777778E-2</v>
      </c>
    </row>
    <row r="97" spans="7:9" x14ac:dyDescent="0.25">
      <c r="G97">
        <v>15</v>
      </c>
      <c r="H97" s="32" t="s">
        <v>201</v>
      </c>
      <c r="I97" s="20">
        <v>2.5694444444444447E-2</v>
      </c>
    </row>
    <row r="98" spans="7:9" x14ac:dyDescent="0.25">
      <c r="G98">
        <v>70</v>
      </c>
      <c r="H98" s="32" t="s">
        <v>201</v>
      </c>
      <c r="I98" s="20">
        <v>6.5277777777777782E-2</v>
      </c>
    </row>
    <row r="99" spans="7:9" x14ac:dyDescent="0.25">
      <c r="G99">
        <v>24</v>
      </c>
      <c r="H99" s="32" t="s">
        <v>201</v>
      </c>
      <c r="I99" s="20">
        <v>4.6527777777777779E-2</v>
      </c>
    </row>
    <row r="100" spans="7:9" x14ac:dyDescent="0.25">
      <c r="G100">
        <v>71</v>
      </c>
      <c r="H100" s="32" t="s">
        <v>201</v>
      </c>
      <c r="I100" s="20">
        <v>5.6944444444444443E-2</v>
      </c>
    </row>
    <row r="101" spans="7:9" x14ac:dyDescent="0.25">
      <c r="G101">
        <v>34</v>
      </c>
      <c r="H101" s="32" t="s">
        <v>201</v>
      </c>
      <c r="I101" s="20">
        <v>1.5277777777777777E-2</v>
      </c>
    </row>
    <row r="102" spans="7:9" x14ac:dyDescent="0.25">
      <c r="G102">
        <v>9</v>
      </c>
      <c r="H102" s="32" t="s">
        <v>201</v>
      </c>
      <c r="I102" s="20">
        <v>0</v>
      </c>
    </row>
    <row r="103" spans="7:9" x14ac:dyDescent="0.25">
      <c r="G103">
        <v>35</v>
      </c>
      <c r="H103" s="32" t="s">
        <v>201</v>
      </c>
      <c r="I103" s="20">
        <v>3.125E-2</v>
      </c>
    </row>
    <row r="104" spans="7:9" x14ac:dyDescent="0.25">
      <c r="G104">
        <v>43</v>
      </c>
      <c r="H104" s="32" t="s">
        <v>201</v>
      </c>
      <c r="I104" s="20">
        <v>0.17777777777777778</v>
      </c>
    </row>
    <row r="105" spans="7:9" x14ac:dyDescent="0.25">
      <c r="G105">
        <v>77</v>
      </c>
      <c r="H105" s="32" t="s">
        <v>201</v>
      </c>
      <c r="I105" s="20">
        <v>3.5416666666666666E-2</v>
      </c>
    </row>
    <row r="106" spans="7:9" x14ac:dyDescent="0.25">
      <c r="G106">
        <v>42</v>
      </c>
      <c r="H106" s="32" t="s">
        <v>201</v>
      </c>
      <c r="I106" s="20">
        <v>0.18333333333333335</v>
      </c>
    </row>
    <row r="107" spans="7:9" x14ac:dyDescent="0.25">
      <c r="G107">
        <v>44</v>
      </c>
      <c r="H107" s="32" t="s">
        <v>201</v>
      </c>
      <c r="I107" s="20">
        <v>2.9861111111111113E-2</v>
      </c>
    </row>
    <row r="108" spans="7:9" x14ac:dyDescent="0.25">
      <c r="G108">
        <v>39</v>
      </c>
      <c r="H108" s="32" t="s">
        <v>201</v>
      </c>
      <c r="I108" s="20">
        <v>6.9444444444444441E-3</v>
      </c>
    </row>
    <row r="109" spans="7:9" x14ac:dyDescent="0.25">
      <c r="G109">
        <v>14</v>
      </c>
      <c r="H109" s="32" t="s">
        <v>201</v>
      </c>
      <c r="I109" s="20">
        <v>0</v>
      </c>
    </row>
    <row r="110" spans="7:9" x14ac:dyDescent="0.25">
      <c r="G110">
        <v>40</v>
      </c>
      <c r="H110" s="32" t="s">
        <v>201</v>
      </c>
      <c r="I110" s="20">
        <v>1.2499999999999999E-2</v>
      </c>
    </row>
    <row r="111" spans="7:9" x14ac:dyDescent="0.25">
      <c r="G111">
        <v>69</v>
      </c>
      <c r="H111" s="32" t="s">
        <v>201</v>
      </c>
      <c r="I111" s="20">
        <v>2.9166666666666664E-2</v>
      </c>
    </row>
    <row r="112" spans="7:9" x14ac:dyDescent="0.25">
      <c r="G112">
        <v>1</v>
      </c>
      <c r="H112" s="32" t="s">
        <v>201</v>
      </c>
      <c r="I112" s="20">
        <v>0</v>
      </c>
    </row>
    <row r="113" spans="7:9" x14ac:dyDescent="0.25">
      <c r="G113">
        <v>76</v>
      </c>
      <c r="H113" s="32" t="s">
        <v>201</v>
      </c>
      <c r="I113" s="20">
        <v>1.5277777777777777E-2</v>
      </c>
    </row>
    <row r="114" spans="7:9" x14ac:dyDescent="0.25">
      <c r="G114">
        <v>36</v>
      </c>
      <c r="H114" s="32" t="s">
        <v>201</v>
      </c>
      <c r="I114" s="20">
        <v>7.6388888888888886E-3</v>
      </c>
    </row>
    <row r="115" spans="7:9" x14ac:dyDescent="0.25">
      <c r="G115">
        <v>3</v>
      </c>
      <c r="H115" s="32" t="s">
        <v>201</v>
      </c>
      <c r="I115" s="20">
        <v>5.1388888888888894E-2</v>
      </c>
    </row>
    <row r="116" spans="7:9" x14ac:dyDescent="0.25">
      <c r="G116">
        <v>17</v>
      </c>
      <c r="H116" s="32" t="s">
        <v>201</v>
      </c>
      <c r="I116" s="20">
        <v>2.9166666666666664E-2</v>
      </c>
    </row>
    <row r="117" spans="7:9" x14ac:dyDescent="0.25">
      <c r="G117">
        <v>37</v>
      </c>
      <c r="H117" s="32" t="s">
        <v>201</v>
      </c>
      <c r="I117" s="20">
        <v>3.888888888888889E-2</v>
      </c>
    </row>
    <row r="118" spans="7:9" x14ac:dyDescent="0.25">
      <c r="G118">
        <v>6</v>
      </c>
      <c r="H118" s="32" t="s">
        <v>201</v>
      </c>
      <c r="I118" s="20">
        <v>2.8472222222222222E-2</v>
      </c>
    </row>
    <row r="119" spans="7:9" x14ac:dyDescent="0.25">
      <c r="G119">
        <v>12</v>
      </c>
      <c r="H119" s="32" t="s">
        <v>201</v>
      </c>
      <c r="I119" s="20">
        <v>0</v>
      </c>
    </row>
    <row r="120" spans="7:9" x14ac:dyDescent="0.25">
      <c r="G120">
        <v>80</v>
      </c>
      <c r="H120" s="32" t="s">
        <v>201</v>
      </c>
      <c r="I120" s="20">
        <v>2.7777777777777776E-2</v>
      </c>
    </row>
    <row r="121" spans="7:9" x14ac:dyDescent="0.25">
      <c r="G121">
        <v>41</v>
      </c>
      <c r="H121" s="32" t="s">
        <v>201</v>
      </c>
      <c r="I121" s="20">
        <v>0</v>
      </c>
    </row>
    <row r="122" spans="7:9" x14ac:dyDescent="0.25">
      <c r="G122">
        <v>13</v>
      </c>
      <c r="H122" s="32" t="s">
        <v>201</v>
      </c>
      <c r="I122" s="20">
        <v>9.8611111111111108E-2</v>
      </c>
    </row>
    <row r="123" spans="7:9" x14ac:dyDescent="0.25">
      <c r="G123">
        <v>4</v>
      </c>
      <c r="H123" s="32" t="s">
        <v>201</v>
      </c>
      <c r="I123" s="20">
        <v>0.36944444444444446</v>
      </c>
    </row>
    <row r="124" spans="7:9" x14ac:dyDescent="0.25">
      <c r="G124">
        <v>66</v>
      </c>
      <c r="H124" s="32" t="s">
        <v>201</v>
      </c>
      <c r="I124" s="20">
        <v>4.7916666666666663E-2</v>
      </c>
    </row>
    <row r="125" spans="7:9" x14ac:dyDescent="0.25">
      <c r="G125">
        <v>81</v>
      </c>
      <c r="H125" s="32" t="s">
        <v>201</v>
      </c>
      <c r="I125" s="20">
        <v>7.2916666666666671E-2</v>
      </c>
    </row>
    <row r="126" spans="7:9" x14ac:dyDescent="0.25">
      <c r="G126">
        <v>26</v>
      </c>
      <c r="H126" s="32" t="s">
        <v>201</v>
      </c>
      <c r="I126" s="20">
        <v>0.18888888888888888</v>
      </c>
    </row>
    <row r="127" spans="7:9" x14ac:dyDescent="0.25">
      <c r="G127">
        <v>83</v>
      </c>
      <c r="H127" s="32" t="s">
        <v>201</v>
      </c>
      <c r="I127" s="20">
        <v>0</v>
      </c>
    </row>
    <row r="128" spans="7:9" x14ac:dyDescent="0.25">
      <c r="G128">
        <v>38</v>
      </c>
      <c r="H128" s="32" t="s">
        <v>201</v>
      </c>
      <c r="I128" s="20">
        <v>4.2361111111111106E-2</v>
      </c>
    </row>
    <row r="129" spans="7:9" x14ac:dyDescent="0.25">
      <c r="G129">
        <v>64</v>
      </c>
      <c r="H129" s="32" t="s">
        <v>201</v>
      </c>
      <c r="I129" s="20">
        <v>5.2777777777777778E-2</v>
      </c>
    </row>
    <row r="130" spans="7:9" x14ac:dyDescent="0.25">
      <c r="G130">
        <v>49</v>
      </c>
      <c r="H130" s="32" t="s">
        <v>201</v>
      </c>
      <c r="I130" s="20">
        <v>1.1805555555555555E-2</v>
      </c>
    </row>
    <row r="131" spans="7:9" x14ac:dyDescent="0.25">
      <c r="G131">
        <v>16</v>
      </c>
      <c r="H131" s="32" t="s">
        <v>201</v>
      </c>
      <c r="I131" s="20">
        <v>3.2638888888888891E-2</v>
      </c>
    </row>
    <row r="132" spans="7:9" x14ac:dyDescent="0.25">
      <c r="I132" s="20"/>
    </row>
    <row r="133" spans="7:9" x14ac:dyDescent="0.25">
      <c r="I133" s="20"/>
    </row>
    <row r="134" spans="7:9" x14ac:dyDescent="0.25">
      <c r="I134" s="20"/>
    </row>
    <row r="135" spans="7:9" x14ac:dyDescent="0.25">
      <c r="I135" s="20"/>
    </row>
    <row r="136" spans="7:9" x14ac:dyDescent="0.25">
      <c r="I136" s="20"/>
    </row>
    <row r="137" spans="7:9" x14ac:dyDescent="0.25">
      <c r="I137" s="20"/>
    </row>
    <row r="138" spans="7:9" x14ac:dyDescent="0.25">
      <c r="I138" s="20"/>
    </row>
    <row r="139" spans="7:9" x14ac:dyDescent="0.25">
      <c r="I139" s="20"/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6</vt:i4>
      </vt:variant>
    </vt:vector>
  </HeadingPairs>
  <TitlesOfParts>
    <vt:vector size="6" baseType="lpstr">
      <vt:lpstr>Controle Macro</vt:lpstr>
      <vt:lpstr>Cartão Ponto</vt:lpstr>
      <vt:lpstr>Base_Macro</vt:lpstr>
      <vt:lpstr>Importação_Macro</vt:lpstr>
      <vt:lpstr>Importação</vt:lpstr>
      <vt:lpstr>base</vt:lpstr>
    </vt:vector>
  </TitlesOfParts>
  <Company>Gracenote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Nathan Olschowsky</cp:lastModifiedBy>
  <cp:lastPrinted>2017-08-22T14:01:55Z</cp:lastPrinted>
  <dcterms:created xsi:type="dcterms:W3CDTF">2017-08-21T19:57:15Z</dcterms:created>
  <dcterms:modified xsi:type="dcterms:W3CDTF">2017-10-23T18:19:45Z</dcterms:modified>
</cp:coreProperties>
</file>